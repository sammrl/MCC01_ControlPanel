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BOM" sheetId="1" state="visible" r:id="rId3"/>
    <sheet name="Parts Reference (Legacy)" sheetId="2" state="visible" r:id="rId4"/>
    <sheet name="Legend &amp; No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<sst xmlns="http://schemas.openxmlformats.org/spreadsheetml/2006/main" count="819" uniqueCount="506">
  <si>
    <t xml:space="preserve">MC-01  |  PORTABLE AUTOMATION CONTROL PLATFORM  —  MASTER BOM</t>
  </si>
  <si>
    <t xml:space="preserve">Rev 0.1  |  Draft  |  Layered Architecture  |  Status: in-progress</t>
  </si>
  <si>
    <t xml:space="preserve">Layer</t>
  </si>
  <si>
    <t xml:space="preserve">Category</t>
  </si>
  <si>
    <t xml:space="preserve">Component</t>
  </si>
  <si>
    <t xml:space="preserve">Brand</t>
  </si>
  <si>
    <t xml:space="preserve">Part Number</t>
  </si>
  <si>
    <t xml:space="preserve">Description</t>
  </si>
  <si>
    <t xml:space="preserve">Qty
Used</t>
  </si>
  <si>
    <t xml:space="preserve">Qty
Purch.</t>
  </si>
  <si>
    <t xml:space="preserve">Unit
Cost ($)</t>
  </si>
  <si>
    <t xml:space="preserve">Ext.
Cost ($)</t>
  </si>
  <si>
    <t xml:space="preserve">Source</t>
  </si>
  <si>
    <t xml:space="preserve">Status</t>
  </si>
  <si>
    <t xml:space="preserve">Notes / Action</t>
  </si>
  <si>
    <t xml:space="preserve">L1 – Core Control</t>
  </si>
  <si>
    <t xml:space="preserve">PLC</t>
  </si>
  <si>
    <t xml:space="preserve">Allen-Bradley Micro850 PLC</t>
  </si>
  <si>
    <t xml:space="preserve">Allen-Bradley</t>
  </si>
  <si>
    <t xml:space="preserve">2080-LC50-48QBB</t>
  </si>
  <si>
    <t xml:space="preserve">48-point DC PLC, Ethernet, USB, 24VDC</t>
  </si>
  <si>
    <t xml:space="preserve">1</t>
  </si>
  <si>
    <t xml:space="preserve">Vendor/eBay</t>
  </si>
  <si>
    <t xml:space="preserve">Confirmed</t>
  </si>
  <si>
    <t xml:space="preserve">Backbone controller</t>
  </si>
  <si>
    <t xml:space="preserve">PLC Expansion</t>
  </si>
  <si>
    <t xml:space="preserve">Micro850 Expansion Module</t>
  </si>
  <si>
    <t xml:space="preserve">TBD</t>
  </si>
  <si>
    <t xml:space="preserve">I/O expansion plug-in, model TBD</t>
  </si>
  <si>
    <t xml:space="preserve">Included with above purchase</t>
  </si>
  <si>
    <t xml:space="preserve">SBC</t>
  </si>
  <si>
    <t xml:space="preserve">Raspberry Pi 5</t>
  </si>
  <si>
    <t xml:space="preserve">Raspberry Pi</t>
  </si>
  <si>
    <t xml:space="preserve">SC1112</t>
  </si>
  <si>
    <t xml:space="preserve">16GB, edge compute node</t>
  </si>
  <si>
    <t xml:space="preserve">Vendor</t>
  </si>
  <si>
    <t xml:space="preserve">16GB with 256 GB SSD</t>
  </si>
  <si>
    <t xml:space="preserve">Microcontroller</t>
  </si>
  <si>
    <t xml:space="preserve">ESP32-WROVER Dev Board</t>
  </si>
  <si>
    <t xml:space="preserve">Espressif</t>
  </si>
  <si>
    <t xml:space="preserve">ESP32-WROVER</t>
  </si>
  <si>
    <t xml:space="preserve">Wi-Fi/BT MCU, MQTT node</t>
  </si>
  <si>
    <t xml:space="preserve">2</t>
  </si>
  <si>
    <t xml:space="preserve">Amazon</t>
  </si>
  <si>
    <t xml:space="preserve">L2 – Networking</t>
  </si>
  <si>
    <t xml:space="preserve">Router</t>
  </si>
  <si>
    <t xml:space="preserve">GL.iNet Opal</t>
  </si>
  <si>
    <t xml:space="preserve">GL.iNet</t>
  </si>
  <si>
    <t xml:space="preserve">GL-SFT1200</t>
  </si>
  <si>
    <t xml:space="preserve">Portable travel router, WPA3, OpenWrt</t>
  </si>
  <si>
    <t xml:space="preserve">Creates isolated LAN on site</t>
  </si>
  <si>
    <t xml:space="preserve">Ethernet Switch</t>
  </si>
  <si>
    <t xml:space="preserve">TRENDnet Unmanaged Switch</t>
  </si>
  <si>
    <t xml:space="preserve">TRENDnet</t>
  </si>
  <si>
    <t xml:space="preserve">8-port unmanaged, DIN-rail mount</t>
  </si>
  <si>
    <t xml:space="preserve">Patch Cable</t>
  </si>
  <si>
    <t xml:space="preserve">Short Ethernet Patch Cables</t>
  </si>
  <si>
    <t xml:space="preserve">Generic</t>
  </si>
  <si>
    <t xml:space="preserve">—</t>
  </si>
  <si>
    <t xml:space="preserve">0.5–1 ft Cat5e/6</t>
  </si>
  <si>
    <t xml:space="preserve">3</t>
  </si>
  <si>
    <t xml:space="preserve">0</t>
  </si>
  <si>
    <t xml:space="preserve">-</t>
  </si>
  <si>
    <t xml:space="preserve">L3 – Power Dist.</t>
  </si>
  <si>
    <t xml:space="preserve">24V PSU</t>
  </si>
  <si>
    <t xml:space="preserve">NVVV HDR-100-24</t>
  </si>
  <si>
    <t xml:space="preserve">NVVV</t>
  </si>
  <si>
    <t xml:space="preserve">HDR-100-24</t>
  </si>
  <si>
    <t xml:space="preserve">DIN rail, 24 VDC 3.83 A 92 W</t>
  </si>
  <si>
    <t xml:space="preserve">Amazon-sourced candidate</t>
  </si>
  <si>
    <t xml:space="preserve">WAGO 787-1200</t>
  </si>
  <si>
    <t xml:space="preserve">WAGO</t>
  </si>
  <si>
    <t xml:space="preserve">787-1200</t>
  </si>
  <si>
    <t xml:space="preserve">DIN rail, 24 VDC Safety PSU</t>
  </si>
  <si>
    <t xml:space="preserve">Safety rail</t>
  </si>
  <si>
    <t xml:space="preserve">5V PSU</t>
  </si>
  <si>
    <t xml:space="preserve">BTF-LIGHTING 5 V 6 A</t>
  </si>
  <si>
    <t xml:space="preserve">BTF-LIGHTING</t>
  </si>
  <si>
    <t xml:space="preserve">5V-6A-30W</t>
  </si>
  <si>
    <t xml:space="preserve">5 V 6 A 30 W, 5.5×2.1 mm barrel</t>
  </si>
  <si>
    <t xml:space="preserve">Pi, Router</t>
  </si>
  <si>
    <t xml:space="preserve">AC Inlet</t>
  </si>
  <si>
    <t xml:space="preserve">AC Port Plug + Y-Splitter</t>
  </si>
  <si>
    <t xml:space="preserve">MICTUNING</t>
  </si>
  <si>
    <t xml:space="preserve">15A 250V</t>
  </si>
  <si>
    <t xml:space="preserve">Panel-mount AC inlet with Y-splitter</t>
  </si>
  <si>
    <t xml:space="preserve">AC entry point for case</t>
  </si>
  <si>
    <t xml:space="preserve">Circuit Breaker</t>
  </si>
  <si>
    <t xml:space="preserve">DIN Rail Miniature Breaker</t>
  </si>
  <si>
    <t xml:space="preserve">DZ47-63 C2</t>
  </si>
  <si>
    <t xml:space="preserve">2 A DIN rail MCB, AC branch disconnect</t>
  </si>
  <si>
    <t xml:space="preserve">4</t>
  </si>
  <si>
    <t xml:space="preserve">Per protected rail</t>
  </si>
  <si>
    <t xml:space="preserve">L4 – Protection</t>
  </si>
  <si>
    <t xml:space="preserve">Relay Module</t>
  </si>
  <si>
    <t xml:space="preserve">WAGO Relay Module</t>
  </si>
  <si>
    <t xml:space="preserve">857-304</t>
  </si>
  <si>
    <t xml:space="preserve">SPDT relay, 24 VDC coil, 10 A contact</t>
  </si>
  <si>
    <t xml:space="preserve">Discrete output switching</t>
  </si>
  <si>
    <t xml:space="preserve">Relay</t>
  </si>
  <si>
    <t xml:space="preserve">Finder Slim Relay</t>
  </si>
  <si>
    <t xml:space="preserve">Finder</t>
  </si>
  <si>
    <t xml:space="preserve">Slim DIN relay, 24 VDC coil</t>
  </si>
  <si>
    <t xml:space="preserve">Exact series TBD</t>
  </si>
  <si>
    <t xml:space="preserve">Fuse Terminal</t>
  </si>
  <si>
    <t xml:space="preserve">UK5-HESI Fuse Terminal Blocks</t>
  </si>
  <si>
    <t xml:space="preserve">EPLZON</t>
  </si>
  <si>
    <t xml:space="preserve">UK5-HESI</t>
  </si>
  <si>
    <t xml:space="preserve">5×20 mm fuse holder terminal, DIN rail</t>
  </si>
  <si>
    <t xml:space="preserve">8</t>
  </si>
  <si>
    <t xml:space="preserve">10</t>
  </si>
  <si>
    <t xml:space="preserve">Per fused branch</t>
  </si>
  <si>
    <t xml:space="preserve">Fuses</t>
  </si>
  <si>
    <t xml:space="preserve">5×20 mm Slow-Blow Fuse Kit</t>
  </si>
  <si>
    <t xml:space="preserve">BOJACK</t>
  </si>
  <si>
    <t xml:space="preserve">250 V slow-blow glass fuses, 0.5–6 A</t>
  </si>
  <si>
    <t xml:space="preserve">1 kit</t>
  </si>
  <si>
    <t xml:space="preserve">Populate per circuit</t>
  </si>
  <si>
    <t xml:space="preserve">E-Stop</t>
  </si>
  <si>
    <t xml:space="preserve">22 mm E-Stop Push Button</t>
  </si>
  <si>
    <t xml:space="preserve">22 mm NC twist-release E-stop, panel mount</t>
  </si>
  <si>
    <t xml:space="preserve">Safety interlock</t>
  </si>
  <si>
    <t xml:space="preserve">Flyback Diode</t>
  </si>
  <si>
    <t xml:space="preserve">1N4007 Rectifier Diode</t>
  </si>
  <si>
    <t xml:space="preserve">Various</t>
  </si>
  <si>
    <t xml:space="preserve">1N4007</t>
  </si>
  <si>
    <t xml:space="preserve">1 A 1000 V, relay/solenoid flyback protection</t>
  </si>
  <si>
    <t xml:space="preserve">20</t>
  </si>
  <si>
    <t xml:space="preserve">Discussed</t>
  </si>
  <si>
    <t xml:space="preserve">Across inductive loads</t>
  </si>
  <si>
    <t xml:space="preserve">L5 – Wiring Infra.</t>
  </si>
  <si>
    <t xml:space="preserve">Signal Terminals</t>
  </si>
  <si>
    <t xml:space="preserve">DIN Rail Terminal Blocks (signal)</t>
  </si>
  <si>
    <t xml:space="preserve">4 mm² grey signal terminals</t>
  </si>
  <si>
    <t xml:space="preserve">30</t>
  </si>
  <si>
    <t xml:space="preserve">Exact brand/model TBD</t>
  </si>
  <si>
    <t xml:space="preserve">Power Terminals</t>
  </si>
  <si>
    <t xml:space="preserve">DIN Rail Terminal Blocks (power)</t>
  </si>
  <si>
    <t xml:space="preserve">ABB</t>
  </si>
  <si>
    <t xml:space="preserve">6 mm² power / 24 V distribution terminals</t>
  </si>
  <si>
    <t xml:space="preserve">12</t>
  </si>
  <si>
    <t xml:space="preserve">Ground Terminals</t>
  </si>
  <si>
    <t xml:space="preserve">PE Ground Terminal Blocks</t>
  </si>
  <si>
    <t xml:space="preserve">Green/yellow, DIN rail PE grounds</t>
  </si>
  <si>
    <t xml:space="preserve">6</t>
  </si>
  <si>
    <t xml:space="preserve">Earth bonding</t>
  </si>
  <si>
    <t xml:space="preserve">DIN Rail</t>
  </si>
  <si>
    <t xml:space="preserve">35 mm DIN Rail</t>
  </si>
  <si>
    <t xml:space="preserve">EN 50022</t>
  </si>
  <si>
    <t xml:space="preserve">Standard top-hat DIN rail, cut to length</t>
  </si>
  <si>
    <t xml:space="preserve">3 sections</t>
  </si>
  <si>
    <t xml:space="preserve">Wire Duct</t>
  </si>
  <si>
    <t xml:space="preserve">Custom 3D-Printed Wire Duct</t>
  </si>
  <si>
    <t xml:space="preserve">Custom</t>
  </si>
  <si>
    <t xml:space="preserve">OpenSCAD-designed, PETG printed</t>
  </si>
  <si>
    <t xml:space="preserve">custom</t>
  </si>
  <si>
    <t xml:space="preserve">3D Print</t>
  </si>
  <si>
    <t xml:space="preserve">Printed on Prusa MK3S</t>
  </si>
  <si>
    <t xml:space="preserve">Hookup Wire</t>
  </si>
  <si>
    <t xml:space="preserve">MTW / Control Wire</t>
  </si>
  <si>
    <t xml:space="preserve">Multi-colour, 18–22 AWG, stranded</t>
  </si>
  <si>
    <t xml:space="preserve">1 spool ea.</t>
  </si>
  <si>
    <t xml:space="preserve">Blue, brown, white/blue, etc.</t>
  </si>
  <si>
    <t xml:space="preserve">Cable Ties</t>
  </si>
  <si>
    <t xml:space="preserve">Nylon Zip Ties + Adhesive Mounts</t>
  </si>
  <si>
    <t xml:space="preserve">Cable management assortment</t>
  </si>
  <si>
    <t xml:space="preserve">1 bag</t>
  </si>
  <si>
    <t xml:space="preserve">L6 – Mechanical</t>
  </si>
  <si>
    <t xml:space="preserve">Enclosure</t>
  </si>
  <si>
    <t xml:space="preserve">Pelican IM2950 Case</t>
  </si>
  <si>
    <t xml:space="preserve">Pelican</t>
  </si>
  <si>
    <t xml:space="preserve">IM2950</t>
  </si>
  <si>
    <t xml:space="preserve">Storm iM2950 rolling hard case</t>
  </si>
  <si>
    <t xml:space="preserve">Ebay</t>
  </si>
  <si>
    <t xml:space="preserve">Primary portable enclosure</t>
  </si>
  <si>
    <t xml:space="preserve">Backplate</t>
  </si>
  <si>
    <t xml:space="preserve">Wood Prototype Panel</t>
  </si>
  <si>
    <t xml:space="preserve">Current working backplate, plywood</t>
  </si>
  <si>
    <t xml:space="preserve">Interim; replace with aluminium</t>
  </si>
  <si>
    <t xml:space="preserve">Machined Aluminium Panel</t>
  </si>
  <si>
    <t xml:space="preserve">Future CNC'd panel for final build</t>
  </si>
  <si>
    <t xml:space="preserve">Machine Shop</t>
  </si>
  <si>
    <t xml:space="preserve">Planned</t>
  </si>
  <si>
    <t xml:space="preserve">Upgrade path</t>
  </si>
  <si>
    <t xml:space="preserve">Frame</t>
  </si>
  <si>
    <t xml:space="preserve">2020 T-Slot Aluminium Ladder Frame</t>
  </si>
  <si>
    <t xml:space="preserve">2020 extrusion</t>
  </si>
  <si>
    <t xml:space="preserve">Modular frame for panel, custom dims</t>
  </si>
  <si>
    <t xml:space="preserve">Fasteners</t>
  </si>
  <si>
    <t xml:space="preserve">M4 Hardware Kit (T-nuts/bolts/standoffs)</t>
  </si>
  <si>
    <t xml:space="preserve">M4 T-nuts, button heads, hex standoffs</t>
  </si>
  <si>
    <t xml:space="preserve">3D-Printed Parts</t>
  </si>
  <si>
    <t xml:space="preserve">Custom Mounts / Brackets / Spacers</t>
  </si>
  <si>
    <t xml:space="preserve">PETG printed on Prusa MK3S+</t>
  </si>
  <si>
    <t xml:space="preserve">Ongoing</t>
  </si>
  <si>
    <t xml:space="preserve">L7 – HMI / Interface</t>
  </si>
  <si>
    <t xml:space="preserve">Push Buttons</t>
  </si>
  <si>
    <t xml:space="preserve">22 mm LED Push Buttons</t>
  </si>
  <si>
    <t xml:space="preserve">24 VDC LED, momentary, red/green/white</t>
  </si>
  <si>
    <t xml:space="preserve">Exact model TBD</t>
  </si>
  <si>
    <t xml:space="preserve">Selector Switch</t>
  </si>
  <si>
    <t xml:space="preserve">22 mm Selector Switch</t>
  </si>
  <si>
    <t xml:space="preserve">2/3-position, maintained</t>
  </si>
  <si>
    <t xml:space="preserve">LED Indicators</t>
  </si>
  <si>
    <t xml:space="preserve">22 mm Panel LED Indicators</t>
  </si>
  <si>
    <t xml:space="preserve">24 VDC, red / green / amber / blue</t>
  </si>
  <si>
    <t xml:space="preserve">Operator Box</t>
  </si>
  <si>
    <t xml:space="preserve">3D-Printed Operator Station</t>
  </si>
  <si>
    <t xml:space="preserve">External pushbutton/LED enclosure, PETG</t>
  </si>
  <si>
    <t xml:space="preserve">L8 – USB / Accessories</t>
  </si>
  <si>
    <t xml:space="preserve">USB-C Adapter</t>
  </si>
  <si>
    <t xml:space="preserve">USB-C Male Screw Terminal Breakout</t>
  </si>
  <si>
    <t xml:space="preserve">USB-C male to +/- screw terminals</t>
  </si>
  <si>
    <t xml:space="preserve">5 V power injection</t>
  </si>
  <si>
    <t xml:space="preserve">PLC Cable</t>
  </si>
  <si>
    <t xml:space="preserve">USB-B Programming Cable (Micro850)</t>
  </si>
  <si>
    <t xml:space="preserve">USB-A to USB-B for CCW programming</t>
  </si>
  <si>
    <t xml:space="preserve">Serial Cable</t>
  </si>
  <si>
    <t xml:space="preserve">Mini-DIN Serial Cable</t>
  </si>
  <si>
    <t xml:space="preserve">Micro850 serial port cable</t>
  </si>
  <si>
    <t xml:space="preserve">TOTAL ESTIMATED COST</t>
  </si>
  <si>
    <t xml:space="preserve">PARTS REFERENCE  —  Legacy / Pre-build Research List  |  Use to fill TBD part numbers in Master BOM</t>
  </si>
  <si>
    <t xml:space="preserve">ID</t>
  </si>
  <si>
    <t xml:space="preserve">OEM / Brand</t>
  </si>
  <si>
    <t xml:space="preserve">Notes</t>
  </si>
  <si>
    <t xml:space="preserve">Product Link</t>
  </si>
  <si>
    <t xml:space="preserve">Retail Price (USD)</t>
  </si>
  <si>
    <t xml:space="preserve">Micro850 PLC</t>
  </si>
  <si>
    <t xml:space="preserve">48 I/O, 24V DC</t>
  </si>
  <si>
    <t xml:space="preserve">https://www.rockwellautomation.com/en-us/products/details.2080-LC50-48QBB.html</t>
  </si>
  <si>
    <t xml:space="preserve">~$516.99 - $970.53</t>
  </si>
  <si>
    <t xml:space="preserve">Carlo Gavazzi</t>
  </si>
  <si>
    <t xml:space="preserve">SPD-2160</t>
  </si>
  <si>
    <t xml:space="preserve">PSU 24V 2.5A 60W DIN Rail</t>
  </si>
  <si>
    <t xml:space="preserve">https://www.gavazziautomation.com/en-us/product/SPD24601B</t>
  </si>
  <si>
    <t xml:space="preserve">~$75.00 - $141.59</t>
  </si>
  <si>
    <t xml:space="preserve">Wago</t>
  </si>
  <si>
    <t xml:space="preserve">281-601</t>
  </si>
  <si>
    <t xml:space="preserve">Feed-through Terminal Block 4mm²</t>
  </si>
  <si>
    <t xml:space="preserve">https://www.wago.com/us/rail-chassis-terminal-blocks/2-conductor-through-terminal-block/p/281-601</t>
  </si>
  <si>
    <t xml:space="preserve">~$3.47 - $5.53</t>
  </si>
  <si>
    <t xml:space="preserve">249-116</t>
  </si>
  <si>
    <t xml:space="preserve">End Stop / End Terminal Block</t>
  </si>
  <si>
    <t xml:space="preserve">https://www.wago.com/us/rail-chassis-terminal-blocks/screwless-end-stop/p/249-116</t>
  </si>
  <si>
    <t xml:space="preserve">~$1.50 - $3.00</t>
  </si>
  <si>
    <t xml:space="preserve">5</t>
  </si>
  <si>
    <t xml:space="preserve">1492-EAJ35</t>
  </si>
  <si>
    <t xml:space="preserve">Terminal Block End Anchor</t>
  </si>
  <si>
    <t xml:space="preserve">https://www.rockwellautomation.com/en-us/products/details.1492-EAJ35.html</t>
  </si>
  <si>
    <t xml:space="preserve">~$3.32 - $5.00</t>
  </si>
  <si>
    <t xml:space="preserve">1492-J3</t>
  </si>
  <si>
    <t xml:space="preserve">Screw Terminal Block 2.5mm² 20A 600V</t>
  </si>
  <si>
    <t xml:space="preserve">https://www.rockwellautomation.com/en-us/products/details.1492-J3.html</t>
  </si>
  <si>
    <t xml:space="preserve">~$2.50 - $4.00</t>
  </si>
  <si>
    <t xml:space="preserve">7</t>
  </si>
  <si>
    <t xml:space="preserve">ZK2.5-4P</t>
  </si>
  <si>
    <t xml:space="preserve">PI-Spring Clamp Terminal Block 4-cond 2.5mm²</t>
  </si>
  <si>
    <t xml:space="preserve">https://new.abb.com/products/1SNK705142R0000</t>
  </si>
  <si>
    <t xml:space="preserve">~$4.00 - $6.00</t>
  </si>
  <si>
    <t xml:space="preserve">ZK2.5-PE-4P</t>
  </si>
  <si>
    <t xml:space="preserve">PI-Spring Clamp Ground Terminal 2.5mm² GY</t>
  </si>
  <si>
    <t xml:space="preserve">https://new.abb.com/products/1SNK705152R0000</t>
  </si>
  <si>
    <t xml:space="preserve">~$6.00 - $9.00</t>
  </si>
  <si>
    <t xml:space="preserve">9</t>
  </si>
  <si>
    <t xml:space="preserve">1492-J64</t>
  </si>
  <si>
    <t xml:space="preserve">Ground Terminal Block 4mm² 30A 600V GY</t>
  </si>
  <si>
    <t xml:space="preserve">https://www.rockwellautomation.com/en-us/products/details.1492-J64.html</t>
  </si>
  <si>
    <t xml:space="preserve">1492-J66</t>
  </si>
  <si>
    <t xml:space="preserve">Ground Terminal Block 6mm² 40A 600V GY</t>
  </si>
  <si>
    <t xml:space="preserve">https://www.rockwellautomation.com/en-us/products/details.1492-J66.html</t>
  </si>
  <si>
    <t xml:space="preserve">~$5.00 - $8.00</t>
  </si>
  <si>
    <t xml:space="preserve">11</t>
  </si>
  <si>
    <t xml:space="preserve">281-907</t>
  </si>
  <si>
    <t xml:space="preserve">Earth Terminal Block 4mm² GY</t>
  </si>
  <si>
    <t xml:space="preserve">https://www.wago.com/us/rail-chassis-terminal-blocks/2-conductor-ground-terminal-block/p/281-907</t>
  </si>
  <si>
    <t xml:space="preserve">~$6.67 - $15.19</t>
  </si>
  <si>
    <t xml:space="preserve">EK2.5-4P</t>
  </si>
  <si>
    <t xml:space="preserve">End Cover for ZK2.5-4P</t>
  </si>
  <si>
    <t xml:space="preserve">https://new.abb.com/products/1SNK705912R0000</t>
  </si>
  <si>
    <t xml:space="preserve">~$0.58 - $0.89</t>
  </si>
  <si>
    <t xml:space="preserve">13</t>
  </si>
  <si>
    <t xml:space="preserve">34.51.7.024.0010</t>
  </si>
  <si>
    <t xml:space="preserve">Slim Relay 1P 6A 24VDC coil</t>
  </si>
  <si>
    <t xml:space="preserve">https://www.findernet.com/en/uk/series/34-series-slim-p-c-b-relays-emr-or-ssr-0-1-2-6a/</t>
  </si>
  <si>
    <t xml:space="preserve">~$5.45 - $7.13</t>
  </si>
  <si>
    <t xml:space="preserve">14</t>
  </si>
  <si>
    <t xml:space="preserve">34.51.7.060.5013</t>
  </si>
  <si>
    <t xml:space="preserve">Slim Relay 1P 6A 60VDC coil</t>
  </si>
  <si>
    <t xml:space="preserve">15</t>
  </si>
  <si>
    <t xml:space="preserve">731H-C2C2D-DC</t>
  </si>
  <si>
    <t xml:space="preserve">Slim Relay 2P 6A 24VDC coil</t>
  </si>
  <si>
    <t xml:space="preserve">https://www.rockwellautomation.com/en-us/products/details.731H-C2C2D-DC.html</t>
  </si>
  <si>
    <t xml:space="preserve">~$15.00 - $25.00</t>
  </si>
  <si>
    <t xml:space="preserve">16</t>
  </si>
  <si>
    <t xml:space="preserve">Phoenix Contact</t>
  </si>
  <si>
    <t xml:space="preserve">PLC-BSC-120UC/21</t>
  </si>
  <si>
    <t xml:space="preserve">PLC Interface Relay 1P 6A 120VAC/DC</t>
  </si>
  <si>
    <t xml:space="preserve">https://www.phoenixcontact.com/en-us/products/relay-module-plc-bsc-120uc21-2966089</t>
  </si>
  <si>
    <t xml:space="preserve">~$25.00 - $40.00</t>
  </si>
  <si>
    <t xml:space="preserve">17</t>
  </si>
  <si>
    <t xml:space="preserve">Slim Relay 1P 6A 24VDC push-in terminal</t>
  </si>
  <si>
    <t xml:space="preserve">https://www.wago.com/us/interface-modules/relay-module/p/857-304</t>
  </si>
  <si>
    <t xml:space="preserve">18</t>
  </si>
  <si>
    <t xml:space="preserve">700-HB32</t>
  </si>
  <si>
    <t xml:space="preserve">General Purpose Relay 120VAC 3P 10A</t>
  </si>
  <si>
    <t xml:space="preserve">https://www.rockwellautomation.com/en-us/products/details.700-HB32.html</t>
  </si>
  <si>
    <t xml:space="preserve">~$20.00 - $35.00</t>
  </si>
  <si>
    <t xml:space="preserve">19</t>
  </si>
  <si>
    <t xml:space="preserve">RGC1A60D25K</t>
  </si>
  <si>
    <t xml:space="preserve">Solid State Contactor 1P 25A 600VAC</t>
  </si>
  <si>
    <t xml:space="preserve">https://www.gavazziautomation.com/en-us/product/RGC1A60D25K</t>
  </si>
  <si>
    <t xml:space="preserve">~$100.00 - $150.00</t>
  </si>
  <si>
    <t xml:space="preserve">PSU 24VDC 5A 120W DIN Rail</t>
  </si>
  <si>
    <t xml:space="preserve">https://www.wago.com/us/power-supplies/switched-mode-power-supply/p/787-1200</t>
  </si>
  <si>
    <t xml:space="preserve">~$150.00 - $250.00</t>
  </si>
  <si>
    <t xml:space="preserve">21</t>
  </si>
  <si>
    <t xml:space="preserve">Weidmuller</t>
  </si>
  <si>
    <t xml:space="preserve">1469470000</t>
  </si>
  <si>
    <t xml:space="preserve">PSU 24VDC 3A 72W DIN Rail</t>
  </si>
  <si>
    <t xml:space="preserve">https://eshop.weidmueller.com/en/pro-eco-72w-24v-3a/p/1469470000</t>
  </si>
  <si>
    <t xml:space="preserve">~$90.36 - $135.52</t>
  </si>
  <si>
    <t xml:space="preserve">22</t>
  </si>
  <si>
    <t xml:space="preserve">1492-DR35</t>
  </si>
  <si>
    <t xml:space="preserve">DIN Rail 35mm x 7.5mm 1m</t>
  </si>
  <si>
    <t xml:space="preserve">https://www.rockwellautomation.com/en-us/products/details.1492-DR35.html</t>
  </si>
  <si>
    <t xml:space="preserve">~$17.87 - $25.00</t>
  </si>
  <si>
    <t xml:space="preserve">23</t>
  </si>
  <si>
    <t xml:space="preserve">Elegoo</t>
  </si>
  <si>
    <t xml:space="preserve">UNO R3 Super Starter Kit</t>
  </si>
  <si>
    <t xml:space="preserve">Arduino UNO R3 compatible + components</t>
  </si>
  <si>
    <t xml:space="preserve">https://us.elegoo.com/products/elegoo-uno-r3-super-starter-kit</t>
  </si>
  <si>
    <t xml:space="preserve">~$42.99 - $58.99</t>
  </si>
  <si>
    <t xml:space="preserve">24</t>
  </si>
  <si>
    <t xml:space="preserve">ESP-32 Dev Kit V1</t>
  </si>
  <si>
    <t xml:space="preserve">ESP32 Wi-Fi/BT Dev Board</t>
  </si>
  <si>
    <t xml:space="preserve">https://www.elegoo.com/products/elegoo-esp32-development-board</t>
  </si>
  <si>
    <t xml:space="preserve">25</t>
  </si>
  <si>
    <t xml:space="preserve">Schneider Electric</t>
  </si>
  <si>
    <t xml:space="preserve">ZBE-101</t>
  </si>
  <si>
    <t xml:space="preserve">Contact Block 1NO Harmony XB4/XB5</t>
  </si>
  <si>
    <t xml:space="preserve">https://www.se.com/us/en/product/ZBE101/</t>
  </si>
  <si>
    <t xml:space="preserve">~$10.00 - $15.00</t>
  </si>
  <si>
    <t xml:space="preserve">26</t>
  </si>
  <si>
    <t xml:space="preserve">ZBE-102</t>
  </si>
  <si>
    <t xml:space="preserve">Contact Block 1NC Harmony XB4/XB5</t>
  </si>
  <si>
    <t xml:space="preserve">https://www.se.com/us/en/product/ZBE102/</t>
  </si>
  <si>
    <t xml:space="preserve">27</t>
  </si>
  <si>
    <t xml:space="preserve">ZBE-102S</t>
  </si>
  <si>
    <t xml:space="preserve">Contact Block 1NC E-Stop Harmony</t>
  </si>
  <si>
    <t xml:space="preserve">https://www.se.com/us/en/product/ZBE102S/</t>
  </si>
  <si>
    <t xml:space="preserve">~$12.00 - $18.00</t>
  </si>
  <si>
    <t xml:space="preserve">28</t>
  </si>
  <si>
    <t xml:space="preserve">ZBV-B4</t>
  </si>
  <si>
    <t xml:space="preserve">LED Block Red 24V Harmony XB4/XB5</t>
  </si>
  <si>
    <t xml:space="preserve">https://www.se.com/us/en/product/ZBVB4/</t>
  </si>
  <si>
    <t xml:space="preserve">~$20.00 - $30.00</t>
  </si>
  <si>
    <t xml:space="preserve">29</t>
  </si>
  <si>
    <t xml:space="preserve">ZBV-B64</t>
  </si>
  <si>
    <t xml:space="preserve">LED Block Yellow 24V Harmony XB4/XB5</t>
  </si>
  <si>
    <t xml:space="preserve">https://www.se.com/us/en/product/ZBVB64/</t>
  </si>
  <si>
    <t xml:space="preserve">ZBV-B45</t>
  </si>
  <si>
    <t xml:space="preserve">LED Block Blue 24V Harmony XB4/XB5</t>
  </si>
  <si>
    <t xml:space="preserve">https://www.se.com/us/en/product/ZBVB45/</t>
  </si>
  <si>
    <t xml:space="preserve">31</t>
  </si>
  <si>
    <t xml:space="preserve">ZBV-B3</t>
  </si>
  <si>
    <t xml:space="preserve">LED Block Green 24V Harmony XB4/XB5</t>
  </si>
  <si>
    <t xml:space="preserve">https://www.se.com/us/en/product/ZBVB3/</t>
  </si>
  <si>
    <t xml:space="preserve">32</t>
  </si>
  <si>
    <t xml:space="preserve">ZBV-B55</t>
  </si>
  <si>
    <t xml:space="preserve">LED Block White 24V Harmony XB4/XB5</t>
  </si>
  <si>
    <t xml:space="preserve">https://www.se.com/us/en/product/ZBVB55/</t>
  </si>
  <si>
    <t xml:space="preserve">33</t>
  </si>
  <si>
    <t xml:space="preserve">ZBE-1015</t>
  </si>
  <si>
    <t xml:space="preserve">Contact Block 1NO+1NC Harmony XB4/XB5</t>
  </si>
  <si>
    <t xml:space="preserve">https://www.se.com/us/en/product/ZBE1015/</t>
  </si>
  <si>
    <t xml:space="preserve">34</t>
  </si>
  <si>
    <t xml:space="preserve">800F-P34R</t>
  </si>
  <si>
    <t xml:space="preserve">Pushbutton Red Flush Plastic 22mm 800F</t>
  </si>
  <si>
    <t xml:space="preserve">https://www.rockwellautomation.com/en-us/products/details.800F-P34R.html</t>
  </si>
  <si>
    <t xml:space="preserve">35</t>
  </si>
  <si>
    <t xml:space="preserve">800F-P34G</t>
  </si>
  <si>
    <t xml:space="preserve">Pushbutton Green Flush Plastic 22mm 800F</t>
  </si>
  <si>
    <t xml:space="preserve">https://www.rockwellautomation.com/en-us/products/details.800F-P34G.html</t>
  </si>
  <si>
    <t xml:space="preserve">36</t>
  </si>
  <si>
    <t xml:space="preserve">800F-P34B</t>
  </si>
  <si>
    <t xml:space="preserve">Pushbutton Blue Flush Plastic 22mm 800F</t>
  </si>
  <si>
    <t xml:space="preserve">https://www.rockwellautomation.com/en-us/products/details.800F-P34B.html</t>
  </si>
  <si>
    <t xml:space="preserve">37</t>
  </si>
  <si>
    <t xml:space="preserve">800F-P34C</t>
  </si>
  <si>
    <t xml:space="preserve">Pushbutton Clear/White Flush Plastic 22mm 800F</t>
  </si>
  <si>
    <t xml:space="preserve">https://www.rockwellautomation.com/en-us/products/details.800F-P34C.html</t>
  </si>
  <si>
    <t xml:space="preserve">38</t>
  </si>
  <si>
    <t xml:space="preserve">Siemens</t>
  </si>
  <si>
    <t xml:space="preserve">3SU1000-0AB10-0AA0</t>
  </si>
  <si>
    <t xml:space="preserve">Pushbutton Black Momentary Plastic 22mm SIRIUS</t>
  </si>
  <si>
    <t xml:space="preserve">https://mall.industry.siemens.com/mall/en/us/Catalog/Product/3SU1000-0AB10-0AA0</t>
  </si>
  <si>
    <t xml:space="preserve">39</t>
  </si>
  <si>
    <t xml:space="preserve">3SU1000-2BL60-0AA0</t>
  </si>
  <si>
    <t xml:space="preserve">Selector Switch 2-pos Maintained LED 22mm</t>
  </si>
  <si>
    <t xml:space="preserve">https://mall.industry.siemens.com/mall/en/us/Catalog/Product/3SU1000-2BL60-0AA0</t>
  </si>
  <si>
    <t xml:space="preserve">~$21.90 - $35.00</t>
  </si>
  <si>
    <t xml:space="preserve">40</t>
  </si>
  <si>
    <t xml:space="preserve">3SU1801-0AA00-0AB1</t>
  </si>
  <si>
    <t xml:space="preserve">Button Housing Plastic 1-pt Yellow/Gray</t>
  </si>
  <si>
    <t xml:space="preserve">https://mall.industry.siemens.com/mall/en/us/Catalog/Product/3SU1801-0AA00-0AB1</t>
  </si>
  <si>
    <t xml:space="preserve">~$65.52 - $90.00</t>
  </si>
  <si>
    <t xml:space="preserve">41</t>
  </si>
  <si>
    <t xml:space="preserve">3SU1801-0AA00-0AC1</t>
  </si>
  <si>
    <t xml:space="preserve">Button Housing Metal 1-pt Yellow/Gray</t>
  </si>
  <si>
    <t xml:space="preserve">https://mall.industry.siemens.com/mall/en/us/Catalog/Product/3SU1801-0AA00-0AC1</t>
  </si>
  <si>
    <t xml:space="preserve">~$80.00 - $120.00</t>
  </si>
  <si>
    <t xml:space="preserve">42</t>
  </si>
  <si>
    <t xml:space="preserve">XB5AA21</t>
  </si>
  <si>
    <t xml:space="preserve">Pushbutton Black Flush Plastic 22mm XB5</t>
  </si>
  <si>
    <t xml:space="preserve">https://www.se.com/us/en/product/XB5AA21/</t>
  </si>
  <si>
    <t xml:space="preserve">~$31.13 - $37.36</t>
  </si>
  <si>
    <t xml:space="preserve">43</t>
  </si>
  <si>
    <t xml:space="preserve">XB5AA31</t>
  </si>
  <si>
    <t xml:space="preserve">Pushbutton Green Flush Plastic 22mm XB5</t>
  </si>
  <si>
    <t xml:space="preserve">https://www.se.com/us/en/product/XB5AA31/</t>
  </si>
  <si>
    <t xml:space="preserve">44</t>
  </si>
  <si>
    <t xml:space="preserve">XB5AD33</t>
  </si>
  <si>
    <t xml:space="preserve">Selector Switch 3-pos Maintained 22mm XB5</t>
  </si>
  <si>
    <t xml:space="preserve">https://www.se.com/us/en/product/XB5AD33/</t>
  </si>
  <si>
    <t xml:space="preserve">~$40.00 - $60.00</t>
  </si>
  <si>
    <t xml:space="preserve">45</t>
  </si>
  <si>
    <t xml:space="preserve">XB5AD21</t>
  </si>
  <si>
    <t xml:space="preserve">Selector Switch 2-pos Maintained 22mm XB5</t>
  </si>
  <si>
    <t xml:space="preserve">https://www.se.com/us/en/product/XB5AD21/</t>
  </si>
  <si>
    <t xml:space="preserve">46</t>
  </si>
  <si>
    <t xml:space="preserve">XB5AL42</t>
  </si>
  <si>
    <t xml:space="preserve">Selector Switch 3-pos Spring Return 22mm XB5</t>
  </si>
  <si>
    <t xml:space="preserve">https://www.se.com/us/en/product/XB5AL42/</t>
  </si>
  <si>
    <t xml:space="preserve">~$45.00 - $65.00</t>
  </si>
  <si>
    <t xml:space="preserve">47</t>
  </si>
  <si>
    <t xml:space="preserve">800F-N3W</t>
  </si>
  <si>
    <t xml:space="preserve">LED Light Module White 24V 800F</t>
  </si>
  <si>
    <t xml:space="preserve">https://www.rockwellautomation.com/en-us/products/details.800F-N3W.html</t>
  </si>
  <si>
    <t xml:space="preserve">48</t>
  </si>
  <si>
    <t xml:space="preserve">800F-X01</t>
  </si>
  <si>
    <t xml:space="preserve">Contact Block 1NC 800F</t>
  </si>
  <si>
    <t xml:space="preserve">https://www.rockwellautomation.com/en-us/products/details.800F-X01.html</t>
  </si>
  <si>
    <t xml:space="preserve">49</t>
  </si>
  <si>
    <t xml:space="preserve">800F-X10</t>
  </si>
  <si>
    <t xml:space="preserve">Contact Block 1NO 800F</t>
  </si>
  <si>
    <t xml:space="preserve">https://www.rockwellautomation.com/en-us/products/details.800F-X10.html</t>
  </si>
  <si>
    <t xml:space="preserve">50</t>
  </si>
  <si>
    <t xml:space="preserve">3SU1401-1BB60-3AA0</t>
  </si>
  <si>
    <t xml:space="preserve">Contact Block 1NO+1NC SIRIUS ACT</t>
  </si>
  <si>
    <t xml:space="preserve">https://mall.industry.siemens.com/mall/en/us/Catalog/Product/3SU1401-1BB60-3AA0</t>
  </si>
  <si>
    <t xml:space="preserve">51</t>
  </si>
  <si>
    <t xml:space="preserve">3SU1400-1AA10-3BA0</t>
  </si>
  <si>
    <t xml:space="preserve">Contact Block 1NO Spring Terminal SIRIUS</t>
  </si>
  <si>
    <t xml:space="preserve">https://mall.industry.siemens.com/mall/en/us/Catalog/Product/3SU1400-1AA10-3BA0</t>
  </si>
  <si>
    <t xml:space="preserve">52</t>
  </si>
  <si>
    <t xml:space="preserve">3SU1400-1AA10-3CA0</t>
  </si>
  <si>
    <t xml:space="preserve">Contact Block 1NC Spring Terminal SIRIUS</t>
  </si>
  <si>
    <t xml:space="preserve">https://mall.industry.siemens.com/mall/en/us/Catalog/Product/3SU1400-1AA10-3CA0</t>
  </si>
  <si>
    <t xml:space="preserve">53</t>
  </si>
  <si>
    <t xml:space="preserve">ZBY9101</t>
  </si>
  <si>
    <t xml:space="preserve">Marking Cap Green Harmony XB4/XB5</t>
  </si>
  <si>
    <t xml:space="preserve">https://www.se.com/us/en/product/ZBY9101/</t>
  </si>
  <si>
    <t xml:space="preserve">~$5.00 - $10.00</t>
  </si>
  <si>
    <t xml:space="preserve">54</t>
  </si>
  <si>
    <t xml:space="preserve">ZBY9102</t>
  </si>
  <si>
    <t xml:space="preserve">Marking Cap Yellow Harmony XB4/XB5</t>
  </si>
  <si>
    <t xml:space="preserve">https://www.se.com/us/en/product/ZBY9102/</t>
  </si>
  <si>
    <t xml:space="preserve">STATUS LEGEND  —  MC-01 BOM</t>
  </si>
  <si>
    <t xml:space="preserve">Meaning</t>
  </si>
  <si>
    <t xml:space="preserve">Action Required</t>
  </si>
  <si>
    <t xml:space="preserve">Purchased or firmly decided</t>
  </si>
  <si>
    <t xml:space="preserve">Capture exact PN if still TBD</t>
  </si>
  <si>
    <t xml:space="preserve">Decision made, not yet purchased</t>
  </si>
  <si>
    <t xml:space="preserve">Order when ready</t>
  </si>
  <si>
    <t xml:space="preserve">Candidate</t>
  </si>
  <si>
    <t xml:space="preserve">Candidate sourced option</t>
  </si>
  <si>
    <t xml:space="preserve">Confirm spec before ordering</t>
  </si>
  <si>
    <t xml:space="preserve">Talked through, not yet committed</t>
  </si>
  <si>
    <t xml:space="preserve">Decision needed</t>
  </si>
  <si>
    <t xml:space="preserve">Part in system, identity unknown</t>
  </si>
  <si>
    <t xml:space="preserve">Photo + identify from panel</t>
  </si>
  <si>
    <t xml:space="preserve">LAYERED ARCHITECTURE</t>
  </si>
  <si>
    <t xml:space="preserve">L1</t>
  </si>
  <si>
    <t xml:space="preserve">Core Control</t>
  </si>
  <si>
    <t xml:space="preserve">PLC, SBC, MCU — the brains</t>
  </si>
  <si>
    <t xml:space="preserve">L2</t>
  </si>
  <si>
    <t xml:space="preserve">Networking</t>
  </si>
  <si>
    <t xml:space="preserve">LAN isolation — router + switch</t>
  </si>
  <si>
    <t xml:space="preserve">L3</t>
  </si>
  <si>
    <t xml:space="preserve">Power Distribution</t>
  </si>
  <si>
    <t xml:space="preserve">24 V / 5 V rails, AC inlet, breakers</t>
  </si>
  <si>
    <t xml:space="preserve">L4</t>
  </si>
  <si>
    <t xml:space="preserve">Protection / Safety</t>
  </si>
  <si>
    <t xml:space="preserve">Relays, fuses, E-stop, flybacks</t>
  </si>
  <si>
    <t xml:space="preserve">L5</t>
  </si>
  <si>
    <t xml:space="preserve">Wiring Infrastructure</t>
  </si>
  <si>
    <t xml:space="preserve">Terminals, DIN rail, duct, wire</t>
  </si>
  <si>
    <t xml:space="preserve">L6</t>
  </si>
  <si>
    <t xml:space="preserve">Mechanical</t>
  </si>
  <si>
    <t xml:space="preserve">Enclosure, backplate, frame, hardware</t>
  </si>
  <si>
    <t xml:space="preserve">L7</t>
  </si>
  <si>
    <t xml:space="preserve">HMI / Interface</t>
  </si>
  <si>
    <t xml:space="preserve">Operator devices, external box</t>
  </si>
  <si>
    <t xml:space="preserve">L8</t>
  </si>
  <si>
    <t xml:space="preserve">USB / Accessories</t>
  </si>
  <si>
    <t xml:space="preserve">Programming cables, breakouts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</si>
</sst>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AEBDC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A1A2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1A1A2E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0F3460"/>
        <bgColor rgb="FF16213E"/>
      </patternFill>
    </fill>
    <fill>
      <patternFill patternType="solid">
        <fgColor rgb="FFF0F4F8"/>
        <bgColor rgb="FFFFFFFF"/>
      </patternFill>
    </fill>
    <fill>
      <patternFill patternType="solid">
        <fgColor rgb="FF95A5A6"/>
        <bgColor rgb="FFA0AEBA"/>
      </patternFill>
    </fill>
    <fill>
      <patternFill patternType="solid">
        <fgColor rgb="FFFFFFFF"/>
        <bgColor rgb="FFF0F4F8"/>
      </patternFill>
    </fill>
    <fill>
      <patternFill patternType="solid">
        <fgColor rgb="FF27AE60"/>
        <bgColor rgb="FF008080"/>
      </patternFill>
    </fill>
    <fill>
      <patternFill patternType="solid">
        <fgColor rgb="FF3498DB"/>
        <bgColor rgb="FF33CCCC"/>
      </patternFill>
    </fill>
    <fill>
      <patternFill patternType="solid">
        <fgColor rgb="FF8E44AD"/>
        <bgColor rgb="FF993366"/>
      </patternFill>
    </fill>
    <fill>
      <patternFill patternType="solid">
        <fgColor rgb="FF16213E"/>
        <bgColor rgb="FF1A1A2E"/>
      </patternFill>
    </fill>
    <fill>
      <patternFill patternType="solid">
        <fgColor rgb="FFF39C12"/>
        <bgColor rgb="FFFFCC00"/>
      </patternFill>
    </fill>
    <fill>
      <patternFill patternType="solid">
        <fgColor rgb="FFE74C3C"/>
        <bgColor rgb="FFFF808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A0AEBA"/>
      </left>
      <right style="medium">
        <color rgb="FFA0AEBA"/>
      </right>
      <top style="medium">
        <color rgb="FFA0AEBA"/>
      </top>
      <bottom style="medium">
        <color rgb="FFA0AEBA"/>
      </bottom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 diagonalUp="false" diagonalDown="false">
      <left style="medium">
        <color rgb="FFA0AEBA"/>
      </left>
      <right/>
      <top style="medium">
        <color rgb="FFA0AEBA"/>
      </top>
      <bottom style="medium">
        <color rgb="FFA0AEB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EBDCA"/>
      <rgbColor rgb="FF808080"/>
      <rgbColor rgb="FFA0AEBA"/>
      <rgbColor rgb="FF8E44AD"/>
      <rgbColor rgb="FFF0F4F8"/>
      <rgbColor rgb="FFCCFFFF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498DB"/>
      <rgbColor rgb="FF33CCCC"/>
      <rgbColor rgb="FF99CC00"/>
      <rgbColor rgb="FFFFCC00"/>
      <rgbColor rgb="FFF39C12"/>
      <rgbColor rgb="FFE74C3C"/>
      <rgbColor rgb="FF666699"/>
      <rgbColor rgb="FF95A5A6"/>
      <rgbColor rgb="FF0F3460"/>
      <rgbColor rgb="FF27AE60"/>
      <rgbColor rgb="FF003300"/>
      <rgbColor rgb="FF1A1A2E"/>
      <rgbColor rgb="FF993300"/>
      <rgbColor rgb="FF993366"/>
      <rgbColor rgb="FF333399"/>
      <rgbColor rgb="FF1621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36"/>
    <col collapsed="false" customWidth="true" hidden="false" outlineLevel="0" max="8" min="7" style="0" width="8"/>
    <col collapsed="false" customWidth="true" hidden="false" outlineLevel="0" max="10" min="9" style="0" width="10"/>
    <col collapsed="false" customWidth="true" hidden="false" outlineLevel="0" max="12" min="11" style="0" width="14"/>
    <col collapsed="false" customWidth="true" hidden="false" outlineLevel="0" max="13" min="13" style="0" width="36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</row>
    <row r="4" customFormat="false" ht="18" hidden="false" customHeight="true" outlineLevel="0" collapsed="false">
      <c r="A4" s="4" t="s">
        <v>15</v>
      </c>
      <c r="B4" s="4"/>
      <c r="C4" s="4"/>
      <c r="D4" s="4"/>
      <c r="E4" s="4"/>
      <c r="F4" s="4"/>
      <c r="G4" s="5"/>
      <c r="H4" s="5"/>
      <c r="I4" s="5"/>
      <c r="J4" s="5" t="str">
        <f aca="false">IF(I4="","",G4*I4)</f>
        <v/>
      </c>
      <c r="K4" s="4"/>
      <c r="L4" s="6"/>
      <c r="M4" s="4"/>
    </row>
    <row r="5" customFormat="false" ht="18" hidden="false" customHeight="true" outlineLevel="0" collapsed="false">
      <c r="A5" s="7" t="s">
        <v>15</v>
      </c>
      <c r="B5" s="7" t="s">
        <v>16</v>
      </c>
      <c r="C5" s="7" t="s">
        <v>17</v>
      </c>
      <c r="D5" s="7" t="s">
        <v>18</v>
      </c>
      <c r="E5" s="7" t="s">
        <v>19</v>
      </c>
      <c r="F5" s="7" t="s">
        <v>20</v>
      </c>
      <c r="G5" s="8" t="s">
        <v>21</v>
      </c>
      <c r="H5" s="8" t="s">
        <v>21</v>
      </c>
      <c r="I5" s="8"/>
      <c r="J5" s="8" t="str">
        <f aca="false">IF(I5="","",G5*I5)</f>
        <v/>
      </c>
      <c r="K5" s="7" t="s">
        <v>22</v>
      </c>
      <c r="L5" s="9" t="s">
        <v>23</v>
      </c>
      <c r="M5" s="7" t="s">
        <v>24</v>
      </c>
    </row>
    <row r="6" customFormat="false" ht="18" hidden="false" customHeight="true" outlineLevel="0" collapsed="false">
      <c r="A6" s="4" t="s">
        <v>15</v>
      </c>
      <c r="B6" s="4" t="s">
        <v>25</v>
      </c>
      <c r="C6" s="4" t="s">
        <v>26</v>
      </c>
      <c r="D6" s="4" t="s">
        <v>18</v>
      </c>
      <c r="E6" s="4" t="s">
        <v>27</v>
      </c>
      <c r="F6" s="4" t="s">
        <v>28</v>
      </c>
      <c r="G6" s="5" t="s">
        <v>21</v>
      </c>
      <c r="H6" s="5" t="s">
        <v>21</v>
      </c>
      <c r="I6" s="5"/>
      <c r="J6" s="5" t="str">
        <f aca="false">IF(I6="","",G6*I6)</f>
        <v/>
      </c>
      <c r="K6" s="4" t="s">
        <v>22</v>
      </c>
      <c r="L6" s="9" t="s">
        <v>23</v>
      </c>
      <c r="M6" s="4" t="s">
        <v>29</v>
      </c>
    </row>
    <row r="7" customFormat="false" ht="18" hidden="false" customHeight="true" outlineLevel="0" collapsed="false">
      <c r="A7" s="7" t="s">
        <v>15</v>
      </c>
      <c r="B7" s="7" t="s">
        <v>30</v>
      </c>
      <c r="C7" s="7" t="s">
        <v>31</v>
      </c>
      <c r="D7" s="7" t="s">
        <v>32</v>
      </c>
      <c r="E7" s="7" t="s">
        <v>33</v>
      </c>
      <c r="F7" s="7" t="s">
        <v>34</v>
      </c>
      <c r="G7" s="8" t="s">
        <v>21</v>
      </c>
      <c r="H7" s="8" t="s">
        <v>21</v>
      </c>
      <c r="I7" s="8"/>
      <c r="J7" s="8" t="str">
        <f aca="false">IF(I7="","",G7*I7)</f>
        <v/>
      </c>
      <c r="K7" s="7" t="s">
        <v>35</v>
      </c>
      <c r="L7" s="9" t="s">
        <v>23</v>
      </c>
      <c r="M7" s="7" t="s">
        <v>36</v>
      </c>
    </row>
    <row r="8" customFormat="false" ht="18" hidden="false" customHeight="true" outlineLevel="0" collapsed="false">
      <c r="A8" s="4" t="s">
        <v>15</v>
      </c>
      <c r="B8" s="4" t="s">
        <v>37</v>
      </c>
      <c r="C8" s="4" t="s">
        <v>38</v>
      </c>
      <c r="D8" s="4" t="s">
        <v>39</v>
      </c>
      <c r="E8" s="4" t="s">
        <v>40</v>
      </c>
      <c r="F8" s="4" t="s">
        <v>41</v>
      </c>
      <c r="G8" s="5" t="s">
        <v>42</v>
      </c>
      <c r="H8" s="5" t="s">
        <v>42</v>
      </c>
      <c r="I8" s="5"/>
      <c r="J8" s="5" t="str">
        <f aca="false">IF(I8="","",G8*I8)</f>
        <v/>
      </c>
      <c r="K8" s="4" t="s">
        <v>43</v>
      </c>
      <c r="L8" s="9" t="s">
        <v>23</v>
      </c>
      <c r="M8" s="4" t="s">
        <v>38</v>
      </c>
    </row>
    <row r="9" customFormat="false" ht="18" hidden="false" customHeight="true" outlineLevel="0" collapsed="false">
      <c r="A9" s="7" t="s">
        <v>44</v>
      </c>
      <c r="B9" s="7"/>
      <c r="C9" s="7"/>
      <c r="D9" s="7"/>
      <c r="E9" s="7"/>
      <c r="F9" s="7"/>
      <c r="G9" s="8"/>
      <c r="H9" s="8"/>
      <c r="I9" s="8"/>
      <c r="J9" s="8" t="str">
        <f aca="false">IF(I9="","",G9*I9)</f>
        <v/>
      </c>
      <c r="K9" s="7"/>
      <c r="L9" s="6"/>
      <c r="M9" s="7"/>
    </row>
    <row r="10" customFormat="false" ht="18" hidden="false" customHeight="true" outlineLevel="0" collapsed="false">
      <c r="A10" s="4" t="s">
        <v>44</v>
      </c>
      <c r="B10" s="4" t="s">
        <v>45</v>
      </c>
      <c r="C10" s="4" t="s">
        <v>46</v>
      </c>
      <c r="D10" s="4" t="s">
        <v>47</v>
      </c>
      <c r="E10" s="4" t="s">
        <v>48</v>
      </c>
      <c r="F10" s="4" t="s">
        <v>49</v>
      </c>
      <c r="G10" s="5" t="s">
        <v>21</v>
      </c>
      <c r="H10" s="5" t="s">
        <v>21</v>
      </c>
      <c r="I10" s="5"/>
      <c r="J10" s="5" t="str">
        <f aca="false">IF(I10="","",G10*I10)</f>
        <v/>
      </c>
      <c r="K10" s="4" t="s">
        <v>43</v>
      </c>
      <c r="L10" s="9" t="s">
        <v>23</v>
      </c>
      <c r="M10" s="4" t="s">
        <v>50</v>
      </c>
    </row>
    <row r="11" customFormat="false" ht="18" hidden="false" customHeight="true" outlineLevel="0" collapsed="false">
      <c r="A11" s="7" t="s">
        <v>44</v>
      </c>
      <c r="B11" s="7" t="s">
        <v>51</v>
      </c>
      <c r="C11" s="7" t="s">
        <v>52</v>
      </c>
      <c r="D11" s="7" t="s">
        <v>53</v>
      </c>
      <c r="E11" s="7" t="s">
        <v>27</v>
      </c>
      <c r="F11" s="7" t="s">
        <v>54</v>
      </c>
      <c r="G11" s="8" t="s">
        <v>21</v>
      </c>
      <c r="H11" s="8" t="s">
        <v>21</v>
      </c>
      <c r="I11" s="8"/>
      <c r="J11" s="8" t="str">
        <f aca="false">IF(I11="","",G11*I11)</f>
        <v/>
      </c>
      <c r="K11" s="7" t="s">
        <v>43</v>
      </c>
      <c r="L11" s="9" t="s">
        <v>23</v>
      </c>
      <c r="M11" s="7"/>
    </row>
    <row r="12" customFormat="false" ht="18" hidden="false" customHeight="true" outlineLevel="0" collapsed="false">
      <c r="A12" s="4" t="s">
        <v>44</v>
      </c>
      <c r="B12" s="4" t="s">
        <v>55</v>
      </c>
      <c r="C12" s="4" t="s">
        <v>56</v>
      </c>
      <c r="D12" s="4" t="s">
        <v>57</v>
      </c>
      <c r="E12" s="4" t="s">
        <v>58</v>
      </c>
      <c r="F12" s="4" t="s">
        <v>59</v>
      </c>
      <c r="G12" s="5" t="s">
        <v>60</v>
      </c>
      <c r="H12" s="5" t="s">
        <v>61</v>
      </c>
      <c r="I12" s="5"/>
      <c r="J12" s="5" t="str">
        <f aca="false">IF(I12="","",G12*I12)</f>
        <v/>
      </c>
      <c r="K12" s="4" t="s">
        <v>62</v>
      </c>
      <c r="L12" s="9" t="s">
        <v>23</v>
      </c>
      <c r="M12" s="4"/>
    </row>
    <row r="13" customFormat="false" ht="18" hidden="false" customHeight="true" outlineLevel="0" collapsed="false">
      <c r="A13" s="7" t="s">
        <v>63</v>
      </c>
      <c r="B13" s="7"/>
      <c r="C13" s="7"/>
      <c r="D13" s="7"/>
      <c r="E13" s="7"/>
      <c r="F13" s="7"/>
      <c r="G13" s="8"/>
      <c r="H13" s="8"/>
      <c r="I13" s="8"/>
      <c r="J13" s="8" t="str">
        <f aca="false">IF(I13="","",G13*I13)</f>
        <v/>
      </c>
      <c r="K13" s="7"/>
      <c r="L13" s="6"/>
      <c r="M13" s="7"/>
    </row>
    <row r="14" customFormat="false" ht="18" hidden="false" customHeight="true" outlineLevel="0" collapsed="false">
      <c r="A14" s="4" t="s">
        <v>63</v>
      </c>
      <c r="B14" s="4" t="s">
        <v>64</v>
      </c>
      <c r="C14" s="4" t="s">
        <v>65</v>
      </c>
      <c r="D14" s="4" t="s">
        <v>66</v>
      </c>
      <c r="E14" s="4" t="s">
        <v>67</v>
      </c>
      <c r="F14" s="4" t="s">
        <v>68</v>
      </c>
      <c r="G14" s="5" t="s">
        <v>21</v>
      </c>
      <c r="H14" s="5" t="s">
        <v>21</v>
      </c>
      <c r="I14" s="5"/>
      <c r="J14" s="5" t="str">
        <f aca="false">IF(I14="","",G14*I14)</f>
        <v/>
      </c>
      <c r="K14" s="4" t="s">
        <v>43</v>
      </c>
      <c r="L14" s="9" t="s">
        <v>23</v>
      </c>
      <c r="M14" s="4" t="s">
        <v>69</v>
      </c>
    </row>
    <row r="15" customFormat="false" ht="18" hidden="false" customHeight="true" outlineLevel="0" collapsed="false">
      <c r="A15" s="7" t="s">
        <v>63</v>
      </c>
      <c r="B15" s="7" t="s">
        <v>64</v>
      </c>
      <c r="C15" s="7" t="s">
        <v>70</v>
      </c>
      <c r="D15" s="7" t="s">
        <v>71</v>
      </c>
      <c r="E15" s="7" t="s">
        <v>72</v>
      </c>
      <c r="F15" s="7" t="s">
        <v>73</v>
      </c>
      <c r="G15" s="8" t="s">
        <v>21</v>
      </c>
      <c r="H15" s="8" t="s">
        <v>21</v>
      </c>
      <c r="I15" s="8"/>
      <c r="J15" s="8" t="str">
        <f aca="false">IF(I15="","",G15*I15)</f>
        <v/>
      </c>
      <c r="K15" s="7" t="s">
        <v>22</v>
      </c>
      <c r="L15" s="9" t="s">
        <v>23</v>
      </c>
      <c r="M15" s="7" t="s">
        <v>74</v>
      </c>
    </row>
    <row r="16" customFormat="false" ht="18" hidden="false" customHeight="true" outlineLevel="0" collapsed="false">
      <c r="A16" s="4" t="s">
        <v>63</v>
      </c>
      <c r="B16" s="4" t="s">
        <v>75</v>
      </c>
      <c r="C16" s="4" t="s">
        <v>76</v>
      </c>
      <c r="D16" s="4" t="s">
        <v>77</v>
      </c>
      <c r="E16" s="4" t="s">
        <v>78</v>
      </c>
      <c r="F16" s="4" t="s">
        <v>79</v>
      </c>
      <c r="G16" s="5" t="s">
        <v>21</v>
      </c>
      <c r="H16" s="5" t="s">
        <v>21</v>
      </c>
      <c r="I16" s="5"/>
      <c r="J16" s="5" t="str">
        <f aca="false">IF(I16="","",G16*I16)</f>
        <v/>
      </c>
      <c r="K16" s="4" t="s">
        <v>43</v>
      </c>
      <c r="L16" s="9" t="s">
        <v>23</v>
      </c>
      <c r="M16" s="4" t="s">
        <v>80</v>
      </c>
    </row>
    <row r="17" customFormat="false" ht="18" hidden="false" customHeight="true" outlineLevel="0" collapsed="false">
      <c r="A17" s="7" t="s">
        <v>63</v>
      </c>
      <c r="B17" s="7" t="s">
        <v>81</v>
      </c>
      <c r="C17" s="7" t="s">
        <v>82</v>
      </c>
      <c r="D17" s="7" t="s">
        <v>83</v>
      </c>
      <c r="E17" s="7" t="s">
        <v>84</v>
      </c>
      <c r="F17" s="7" t="s">
        <v>85</v>
      </c>
      <c r="G17" s="8" t="s">
        <v>21</v>
      </c>
      <c r="H17" s="8" t="s">
        <v>21</v>
      </c>
      <c r="I17" s="8"/>
      <c r="J17" s="8" t="str">
        <f aca="false">IF(I17="","",G17*I17)</f>
        <v/>
      </c>
      <c r="K17" s="7" t="s">
        <v>43</v>
      </c>
      <c r="L17" s="9" t="s">
        <v>23</v>
      </c>
      <c r="M17" s="7" t="s">
        <v>86</v>
      </c>
    </row>
    <row r="18" customFormat="false" ht="18" hidden="false" customHeight="true" outlineLevel="0" collapsed="false">
      <c r="A18" s="4" t="s">
        <v>63</v>
      </c>
      <c r="B18" s="4" t="s">
        <v>87</v>
      </c>
      <c r="C18" s="4" t="s">
        <v>88</v>
      </c>
      <c r="D18" s="4" t="s">
        <v>57</v>
      </c>
      <c r="E18" s="4" t="s">
        <v>89</v>
      </c>
      <c r="F18" s="4" t="s">
        <v>90</v>
      </c>
      <c r="G18" s="5" t="s">
        <v>42</v>
      </c>
      <c r="H18" s="5" t="s">
        <v>91</v>
      </c>
      <c r="I18" s="5"/>
      <c r="J18" s="5" t="str">
        <f aca="false">IF(I18="","",G18*I18)</f>
        <v/>
      </c>
      <c r="K18" s="4" t="s">
        <v>43</v>
      </c>
      <c r="L18" s="9" t="s">
        <v>23</v>
      </c>
      <c r="M18" s="4" t="s">
        <v>92</v>
      </c>
    </row>
    <row r="19" customFormat="false" ht="18" hidden="false" customHeight="true" outlineLevel="0" collapsed="false">
      <c r="A19" s="7" t="s">
        <v>93</v>
      </c>
      <c r="B19" s="7"/>
      <c r="C19" s="7"/>
      <c r="D19" s="7"/>
      <c r="E19" s="7"/>
      <c r="F19" s="7"/>
      <c r="G19" s="8"/>
      <c r="H19" s="8"/>
      <c r="I19" s="8"/>
      <c r="J19" s="8" t="str">
        <f aca="false">IF(I19="","",G19*I19)</f>
        <v/>
      </c>
      <c r="K19" s="7"/>
      <c r="L19" s="6"/>
      <c r="M19" s="7"/>
    </row>
    <row r="20" customFormat="false" ht="18" hidden="false" customHeight="true" outlineLevel="0" collapsed="false">
      <c r="A20" s="4" t="s">
        <v>93</v>
      </c>
      <c r="B20" s="4" t="s">
        <v>94</v>
      </c>
      <c r="C20" s="4" t="s">
        <v>95</v>
      </c>
      <c r="D20" s="4" t="s">
        <v>71</v>
      </c>
      <c r="E20" s="4" t="s">
        <v>96</v>
      </c>
      <c r="F20" s="4" t="s">
        <v>97</v>
      </c>
      <c r="G20" s="5" t="s">
        <v>91</v>
      </c>
      <c r="H20" s="5" t="s">
        <v>91</v>
      </c>
      <c r="I20" s="5"/>
      <c r="J20" s="5" t="str">
        <f aca="false">IF(I20="","",G20*I20)</f>
        <v/>
      </c>
      <c r="K20" s="4" t="s">
        <v>35</v>
      </c>
      <c r="L20" s="9" t="s">
        <v>23</v>
      </c>
      <c r="M20" s="4" t="s">
        <v>98</v>
      </c>
    </row>
    <row r="21" customFormat="false" ht="18" hidden="false" customHeight="true" outlineLevel="0" collapsed="false">
      <c r="A21" s="7" t="s">
        <v>93</v>
      </c>
      <c r="B21" s="7" t="s">
        <v>99</v>
      </c>
      <c r="C21" s="7" t="s">
        <v>100</v>
      </c>
      <c r="D21" s="7" t="s">
        <v>101</v>
      </c>
      <c r="E21" s="7" t="s">
        <v>27</v>
      </c>
      <c r="F21" s="7" t="s">
        <v>102</v>
      </c>
      <c r="G21" s="8" t="s">
        <v>42</v>
      </c>
      <c r="H21" s="8" t="s">
        <v>91</v>
      </c>
      <c r="I21" s="8"/>
      <c r="J21" s="8" t="str">
        <f aca="false">IF(I21="","",G21*I21)</f>
        <v/>
      </c>
      <c r="K21" s="7" t="s">
        <v>35</v>
      </c>
      <c r="L21" s="9" t="s">
        <v>23</v>
      </c>
      <c r="M21" s="7" t="s">
        <v>103</v>
      </c>
    </row>
    <row r="22" customFormat="false" ht="18" hidden="false" customHeight="true" outlineLevel="0" collapsed="false">
      <c r="A22" s="4" t="s">
        <v>93</v>
      </c>
      <c r="B22" s="4" t="s">
        <v>104</v>
      </c>
      <c r="C22" s="4" t="s">
        <v>105</v>
      </c>
      <c r="D22" s="4" t="s">
        <v>106</v>
      </c>
      <c r="E22" s="4" t="s">
        <v>107</v>
      </c>
      <c r="F22" s="4" t="s">
        <v>108</v>
      </c>
      <c r="G22" s="5" t="s">
        <v>109</v>
      </c>
      <c r="H22" s="5" t="s">
        <v>110</v>
      </c>
      <c r="I22" s="5"/>
      <c r="J22" s="5" t="str">
        <f aca="false">IF(I22="","",G22*I22)</f>
        <v/>
      </c>
      <c r="K22" s="4" t="s">
        <v>43</v>
      </c>
      <c r="L22" s="9" t="s">
        <v>23</v>
      </c>
      <c r="M22" s="4" t="s">
        <v>111</v>
      </c>
    </row>
    <row r="23" customFormat="false" ht="18" hidden="false" customHeight="true" outlineLevel="0" collapsed="false">
      <c r="A23" s="7" t="s">
        <v>93</v>
      </c>
      <c r="B23" s="7" t="s">
        <v>112</v>
      </c>
      <c r="C23" s="7" t="s">
        <v>113</v>
      </c>
      <c r="D23" s="7" t="s">
        <v>114</v>
      </c>
      <c r="E23" s="7" t="s">
        <v>58</v>
      </c>
      <c r="F23" s="7" t="s">
        <v>115</v>
      </c>
      <c r="G23" s="8" t="s">
        <v>42</v>
      </c>
      <c r="H23" s="8" t="s">
        <v>116</v>
      </c>
      <c r="I23" s="8"/>
      <c r="J23" s="8" t="str">
        <f aca="false">IF(I23="","",G23*I23)</f>
        <v/>
      </c>
      <c r="K23" s="7" t="s">
        <v>43</v>
      </c>
      <c r="L23" s="9" t="s">
        <v>23</v>
      </c>
      <c r="M23" s="7" t="s">
        <v>117</v>
      </c>
    </row>
    <row r="24" customFormat="false" ht="18" hidden="false" customHeight="true" outlineLevel="0" collapsed="false">
      <c r="A24" s="4" t="s">
        <v>93</v>
      </c>
      <c r="B24" s="4" t="s">
        <v>118</v>
      </c>
      <c r="C24" s="4" t="s">
        <v>119</v>
      </c>
      <c r="D24" s="4" t="s">
        <v>57</v>
      </c>
      <c r="E24" s="4" t="s">
        <v>27</v>
      </c>
      <c r="F24" s="4" t="s">
        <v>120</v>
      </c>
      <c r="G24" s="5" t="s">
        <v>21</v>
      </c>
      <c r="H24" s="5" t="s">
        <v>21</v>
      </c>
      <c r="I24" s="5"/>
      <c r="J24" s="5" t="str">
        <f aca="false">IF(I24="","",G24*I24)</f>
        <v/>
      </c>
      <c r="K24" s="4" t="s">
        <v>35</v>
      </c>
      <c r="L24" s="9" t="s">
        <v>23</v>
      </c>
      <c r="M24" s="4" t="s">
        <v>121</v>
      </c>
    </row>
    <row r="25" customFormat="false" ht="18" hidden="false" customHeight="true" outlineLevel="0" collapsed="false">
      <c r="A25" s="7" t="s">
        <v>93</v>
      </c>
      <c r="B25" s="7" t="s">
        <v>122</v>
      </c>
      <c r="C25" s="7" t="s">
        <v>123</v>
      </c>
      <c r="D25" s="7" t="s">
        <v>124</v>
      </c>
      <c r="E25" s="7" t="s">
        <v>125</v>
      </c>
      <c r="F25" s="7" t="s">
        <v>126</v>
      </c>
      <c r="G25" s="8" t="s">
        <v>110</v>
      </c>
      <c r="H25" s="8" t="s">
        <v>127</v>
      </c>
      <c r="I25" s="8"/>
      <c r="J25" s="8" t="str">
        <f aca="false">IF(I25="","",G25*I25)</f>
        <v/>
      </c>
      <c r="K25" s="7" t="s">
        <v>43</v>
      </c>
      <c r="L25" s="10" t="s">
        <v>128</v>
      </c>
      <c r="M25" s="7" t="s">
        <v>129</v>
      </c>
    </row>
    <row r="26" customFormat="false" ht="18" hidden="false" customHeight="true" outlineLevel="0" collapsed="false">
      <c r="A26" s="4" t="s">
        <v>130</v>
      </c>
      <c r="B26" s="4"/>
      <c r="C26" s="4"/>
      <c r="D26" s="4"/>
      <c r="E26" s="4"/>
      <c r="F26" s="4"/>
      <c r="G26" s="5"/>
      <c r="H26" s="5"/>
      <c r="I26" s="5"/>
      <c r="J26" s="5" t="str">
        <f aca="false">IF(I26="","",G26*I26)</f>
        <v/>
      </c>
      <c r="K26" s="4"/>
      <c r="L26" s="6"/>
      <c r="M26" s="4"/>
    </row>
    <row r="27" customFormat="false" ht="18" hidden="false" customHeight="true" outlineLevel="0" collapsed="false">
      <c r="A27" s="7" t="s">
        <v>130</v>
      </c>
      <c r="B27" s="7" t="s">
        <v>131</v>
      </c>
      <c r="C27" s="7" t="s">
        <v>132</v>
      </c>
      <c r="D27" s="7" t="s">
        <v>18</v>
      </c>
      <c r="E27" s="7" t="s">
        <v>27</v>
      </c>
      <c r="F27" s="7" t="s">
        <v>133</v>
      </c>
      <c r="G27" s="8" t="s">
        <v>127</v>
      </c>
      <c r="H27" s="8" t="s">
        <v>134</v>
      </c>
      <c r="I27" s="8"/>
      <c r="J27" s="8" t="str">
        <f aca="false">IF(I27="","",G27*I27)</f>
        <v/>
      </c>
      <c r="K27" s="7" t="s">
        <v>35</v>
      </c>
      <c r="L27" s="9" t="s">
        <v>23</v>
      </c>
      <c r="M27" s="7" t="s">
        <v>135</v>
      </c>
    </row>
    <row r="28" customFormat="false" ht="18" hidden="false" customHeight="true" outlineLevel="0" collapsed="false">
      <c r="A28" s="4" t="s">
        <v>130</v>
      </c>
      <c r="B28" s="4" t="s">
        <v>136</v>
      </c>
      <c r="C28" s="4" t="s">
        <v>137</v>
      </c>
      <c r="D28" s="4" t="s">
        <v>138</v>
      </c>
      <c r="E28" s="4" t="s">
        <v>27</v>
      </c>
      <c r="F28" s="4" t="s">
        <v>139</v>
      </c>
      <c r="G28" s="5" t="s">
        <v>110</v>
      </c>
      <c r="H28" s="5" t="s">
        <v>140</v>
      </c>
      <c r="I28" s="5"/>
      <c r="J28" s="5" t="str">
        <f aca="false">IF(I28="","",G28*I28)</f>
        <v/>
      </c>
      <c r="K28" s="4" t="s">
        <v>35</v>
      </c>
      <c r="L28" s="9" t="s">
        <v>23</v>
      </c>
      <c r="M28" s="4" t="s">
        <v>135</v>
      </c>
    </row>
    <row r="29" customFormat="false" ht="18" hidden="false" customHeight="true" outlineLevel="0" collapsed="false">
      <c r="A29" s="7" t="s">
        <v>130</v>
      </c>
      <c r="B29" s="7" t="s">
        <v>141</v>
      </c>
      <c r="C29" s="7" t="s">
        <v>142</v>
      </c>
      <c r="D29" s="7" t="s">
        <v>138</v>
      </c>
      <c r="E29" s="7" t="s">
        <v>27</v>
      </c>
      <c r="F29" s="7" t="s">
        <v>143</v>
      </c>
      <c r="G29" s="8" t="s">
        <v>144</v>
      </c>
      <c r="H29" s="8" t="s">
        <v>109</v>
      </c>
      <c r="I29" s="8"/>
      <c r="J29" s="8" t="str">
        <f aca="false">IF(I29="","",G29*I29)</f>
        <v/>
      </c>
      <c r="K29" s="7" t="s">
        <v>35</v>
      </c>
      <c r="L29" s="9" t="s">
        <v>23</v>
      </c>
      <c r="M29" s="7" t="s">
        <v>145</v>
      </c>
    </row>
    <row r="30" customFormat="false" ht="18" hidden="false" customHeight="true" outlineLevel="0" collapsed="false">
      <c r="A30" s="4" t="s">
        <v>130</v>
      </c>
      <c r="B30" s="4" t="s">
        <v>141</v>
      </c>
      <c r="C30" s="4" t="s">
        <v>142</v>
      </c>
      <c r="D30" s="4" t="s">
        <v>18</v>
      </c>
      <c r="E30" s="4" t="s">
        <v>27</v>
      </c>
      <c r="F30" s="4" t="s">
        <v>143</v>
      </c>
      <c r="G30" s="5" t="s">
        <v>144</v>
      </c>
      <c r="H30" s="5" t="s">
        <v>109</v>
      </c>
      <c r="I30" s="5"/>
      <c r="J30" s="5" t="str">
        <f aca="false">IF(I30="","",G30*I30)</f>
        <v/>
      </c>
      <c r="K30" s="4" t="s">
        <v>35</v>
      </c>
      <c r="L30" s="9" t="s">
        <v>23</v>
      </c>
      <c r="M30" s="4" t="s">
        <v>145</v>
      </c>
    </row>
    <row r="31" customFormat="false" ht="18" hidden="false" customHeight="true" outlineLevel="0" collapsed="false">
      <c r="A31" s="7" t="s">
        <v>130</v>
      </c>
      <c r="B31" s="7" t="s">
        <v>146</v>
      </c>
      <c r="C31" s="7" t="s">
        <v>147</v>
      </c>
      <c r="D31" s="7" t="s">
        <v>57</v>
      </c>
      <c r="E31" s="7" t="s">
        <v>148</v>
      </c>
      <c r="F31" s="7" t="s">
        <v>149</v>
      </c>
      <c r="G31" s="8" t="s">
        <v>150</v>
      </c>
      <c r="H31" s="8" t="s">
        <v>150</v>
      </c>
      <c r="I31" s="8"/>
      <c r="J31" s="8" t="str">
        <f aca="false">IF(I31="","",G31*I31)</f>
        <v/>
      </c>
      <c r="K31" s="7" t="s">
        <v>35</v>
      </c>
      <c r="L31" s="9" t="s">
        <v>23</v>
      </c>
      <c r="M31" s="7"/>
    </row>
    <row r="32" customFormat="false" ht="18" hidden="false" customHeight="true" outlineLevel="0" collapsed="false">
      <c r="A32" s="4" t="s">
        <v>130</v>
      </c>
      <c r="B32" s="4" t="s">
        <v>151</v>
      </c>
      <c r="C32" s="4" t="s">
        <v>152</v>
      </c>
      <c r="D32" s="4" t="s">
        <v>153</v>
      </c>
      <c r="E32" s="4" t="s">
        <v>58</v>
      </c>
      <c r="F32" s="4" t="s">
        <v>154</v>
      </c>
      <c r="G32" s="5" t="s">
        <v>155</v>
      </c>
      <c r="H32" s="5" t="s">
        <v>58</v>
      </c>
      <c r="I32" s="5"/>
      <c r="J32" s="5" t="str">
        <f aca="false">IF(I32="","",G32*I32)</f>
        <v/>
      </c>
      <c r="K32" s="4" t="s">
        <v>156</v>
      </c>
      <c r="L32" s="9" t="s">
        <v>23</v>
      </c>
      <c r="M32" s="4" t="s">
        <v>157</v>
      </c>
    </row>
    <row r="33" customFormat="false" ht="18" hidden="false" customHeight="true" outlineLevel="0" collapsed="false">
      <c r="A33" s="7" t="s">
        <v>130</v>
      </c>
      <c r="B33" s="7" t="s">
        <v>158</v>
      </c>
      <c r="C33" s="7" t="s">
        <v>159</v>
      </c>
      <c r="D33" s="7" t="s">
        <v>124</v>
      </c>
      <c r="E33" s="7" t="s">
        <v>58</v>
      </c>
      <c r="F33" s="7" t="s">
        <v>160</v>
      </c>
      <c r="G33" s="8" t="s">
        <v>161</v>
      </c>
      <c r="H33" s="8" t="s">
        <v>58</v>
      </c>
      <c r="I33" s="8"/>
      <c r="J33" s="8" t="str">
        <f aca="false">IF(I33="","",G33*I33)</f>
        <v/>
      </c>
      <c r="K33" s="7" t="s">
        <v>35</v>
      </c>
      <c r="L33" s="9" t="s">
        <v>23</v>
      </c>
      <c r="M33" s="7" t="s">
        <v>162</v>
      </c>
    </row>
    <row r="34" customFormat="false" ht="18" hidden="false" customHeight="true" outlineLevel="0" collapsed="false">
      <c r="A34" s="4" t="s">
        <v>130</v>
      </c>
      <c r="B34" s="4" t="s">
        <v>163</v>
      </c>
      <c r="C34" s="4" t="s">
        <v>164</v>
      </c>
      <c r="D34" s="4" t="s">
        <v>124</v>
      </c>
      <c r="E34" s="4" t="s">
        <v>58</v>
      </c>
      <c r="F34" s="4" t="s">
        <v>165</v>
      </c>
      <c r="G34" s="5" t="s">
        <v>166</v>
      </c>
      <c r="H34" s="5" t="s">
        <v>166</v>
      </c>
      <c r="I34" s="5"/>
      <c r="J34" s="5" t="str">
        <f aca="false">IF(I34="","",G34*I34)</f>
        <v/>
      </c>
      <c r="K34" s="4" t="s">
        <v>43</v>
      </c>
      <c r="L34" s="9" t="s">
        <v>23</v>
      </c>
      <c r="M34" s="4"/>
    </row>
    <row r="35" customFormat="false" ht="18" hidden="false" customHeight="true" outlineLevel="0" collapsed="false">
      <c r="A35" s="7" t="s">
        <v>167</v>
      </c>
      <c r="B35" s="7"/>
      <c r="C35" s="7"/>
      <c r="D35" s="7"/>
      <c r="E35" s="7"/>
      <c r="F35" s="7"/>
      <c r="G35" s="8"/>
      <c r="H35" s="8"/>
      <c r="I35" s="8"/>
      <c r="J35" s="8" t="str">
        <f aca="false">IF(I35="","",G35*I35)</f>
        <v/>
      </c>
      <c r="K35" s="7"/>
      <c r="L35" s="6"/>
      <c r="M35" s="7"/>
    </row>
    <row r="36" customFormat="false" ht="18" hidden="false" customHeight="true" outlineLevel="0" collapsed="false">
      <c r="A36" s="4" t="s">
        <v>167</v>
      </c>
      <c r="B36" s="4" t="s">
        <v>168</v>
      </c>
      <c r="C36" s="4" t="s">
        <v>169</v>
      </c>
      <c r="D36" s="4" t="s">
        <v>170</v>
      </c>
      <c r="E36" s="4" t="s">
        <v>171</v>
      </c>
      <c r="F36" s="4" t="s">
        <v>172</v>
      </c>
      <c r="G36" s="5" t="s">
        <v>21</v>
      </c>
      <c r="H36" s="5" t="s">
        <v>21</v>
      </c>
      <c r="I36" s="5"/>
      <c r="J36" s="5" t="str">
        <f aca="false">IF(I36="","",G36*I36)</f>
        <v/>
      </c>
      <c r="K36" s="4" t="s">
        <v>173</v>
      </c>
      <c r="L36" s="9" t="s">
        <v>23</v>
      </c>
      <c r="M36" s="4" t="s">
        <v>174</v>
      </c>
    </row>
    <row r="37" customFormat="false" ht="18" hidden="false" customHeight="true" outlineLevel="0" collapsed="false">
      <c r="A37" s="7" t="s">
        <v>167</v>
      </c>
      <c r="B37" s="7" t="s">
        <v>175</v>
      </c>
      <c r="C37" s="7" t="s">
        <v>176</v>
      </c>
      <c r="D37" s="7" t="s">
        <v>153</v>
      </c>
      <c r="E37" s="7" t="s">
        <v>58</v>
      </c>
      <c r="F37" s="7" t="s">
        <v>177</v>
      </c>
      <c r="G37" s="8" t="s">
        <v>21</v>
      </c>
      <c r="H37" s="8" t="s">
        <v>21</v>
      </c>
      <c r="I37" s="8"/>
      <c r="J37" s="8" t="str">
        <f aca="false">IF(I37="","",G37*I37)</f>
        <v/>
      </c>
      <c r="K37" s="7" t="s">
        <v>153</v>
      </c>
      <c r="L37" s="9" t="s">
        <v>23</v>
      </c>
      <c r="M37" s="7" t="s">
        <v>178</v>
      </c>
    </row>
    <row r="38" customFormat="false" ht="18" hidden="false" customHeight="true" outlineLevel="0" collapsed="false">
      <c r="A38" s="4" t="s">
        <v>167</v>
      </c>
      <c r="B38" s="4" t="s">
        <v>175</v>
      </c>
      <c r="C38" s="4" t="s">
        <v>179</v>
      </c>
      <c r="D38" s="4" t="s">
        <v>153</v>
      </c>
      <c r="E38" s="4" t="s">
        <v>58</v>
      </c>
      <c r="F38" s="4" t="s">
        <v>180</v>
      </c>
      <c r="G38" s="5" t="s">
        <v>21</v>
      </c>
      <c r="H38" s="5" t="s">
        <v>58</v>
      </c>
      <c r="I38" s="5"/>
      <c r="J38" s="5" t="str">
        <f aca="false">IF(I38="","",G38*I38)</f>
        <v/>
      </c>
      <c r="K38" s="4" t="s">
        <v>181</v>
      </c>
      <c r="L38" s="11" t="s">
        <v>182</v>
      </c>
      <c r="M38" s="4" t="s">
        <v>183</v>
      </c>
    </row>
    <row r="39" customFormat="false" ht="18" hidden="false" customHeight="true" outlineLevel="0" collapsed="false">
      <c r="A39" s="7" t="s">
        <v>167</v>
      </c>
      <c r="B39" s="7" t="s">
        <v>184</v>
      </c>
      <c r="C39" s="7" t="s">
        <v>185</v>
      </c>
      <c r="D39" s="7" t="s">
        <v>57</v>
      </c>
      <c r="E39" s="7" t="s">
        <v>186</v>
      </c>
      <c r="F39" s="7" t="s">
        <v>187</v>
      </c>
      <c r="G39" s="8" t="s">
        <v>155</v>
      </c>
      <c r="H39" s="8" t="s">
        <v>58</v>
      </c>
      <c r="I39" s="8"/>
      <c r="J39" s="8" t="str">
        <f aca="false">IF(I39="","",G39*I39)</f>
        <v/>
      </c>
      <c r="K39" s="7" t="s">
        <v>43</v>
      </c>
      <c r="L39" s="9" t="s">
        <v>23</v>
      </c>
      <c r="M39" s="7"/>
    </row>
    <row r="40" customFormat="false" ht="18" hidden="false" customHeight="true" outlineLevel="0" collapsed="false">
      <c r="A40" s="4" t="s">
        <v>167</v>
      </c>
      <c r="B40" s="4" t="s">
        <v>188</v>
      </c>
      <c r="C40" s="4" t="s">
        <v>189</v>
      </c>
      <c r="D40" s="4" t="s">
        <v>57</v>
      </c>
      <c r="E40" s="4" t="s">
        <v>58</v>
      </c>
      <c r="F40" s="4" t="s">
        <v>190</v>
      </c>
      <c r="G40" s="5" t="s">
        <v>116</v>
      </c>
      <c r="H40" s="5" t="s">
        <v>116</v>
      </c>
      <c r="I40" s="5"/>
      <c r="J40" s="5" t="str">
        <f aca="false">IF(I40="","",G40*I40)</f>
        <v/>
      </c>
      <c r="K40" s="4" t="s">
        <v>43</v>
      </c>
      <c r="L40" s="9" t="s">
        <v>23</v>
      </c>
      <c r="M40" s="4"/>
    </row>
    <row r="41" customFormat="false" ht="18" hidden="false" customHeight="true" outlineLevel="0" collapsed="false">
      <c r="A41" s="7" t="s">
        <v>167</v>
      </c>
      <c r="B41" s="7" t="s">
        <v>191</v>
      </c>
      <c r="C41" s="7" t="s">
        <v>192</v>
      </c>
      <c r="D41" s="7" t="s">
        <v>153</v>
      </c>
      <c r="E41" s="7" t="s">
        <v>58</v>
      </c>
      <c r="F41" s="7" t="s">
        <v>193</v>
      </c>
      <c r="G41" s="8" t="s">
        <v>155</v>
      </c>
      <c r="H41" s="8" t="s">
        <v>58</v>
      </c>
      <c r="I41" s="8"/>
      <c r="J41" s="8" t="str">
        <f aca="false">IF(I41="","",G41*I41)</f>
        <v/>
      </c>
      <c r="K41" s="7" t="s">
        <v>156</v>
      </c>
      <c r="L41" s="9" t="s">
        <v>23</v>
      </c>
      <c r="M41" s="7" t="s">
        <v>194</v>
      </c>
    </row>
    <row r="42" customFormat="false" ht="18" hidden="false" customHeight="true" outlineLevel="0" collapsed="false">
      <c r="A42" s="4" t="s">
        <v>195</v>
      </c>
      <c r="B42" s="4"/>
      <c r="C42" s="4"/>
      <c r="D42" s="4"/>
      <c r="E42" s="4"/>
      <c r="F42" s="4"/>
      <c r="G42" s="5"/>
      <c r="H42" s="5"/>
      <c r="I42" s="5"/>
      <c r="J42" s="5" t="str">
        <f aca="false">IF(I42="","",G42*I42)</f>
        <v/>
      </c>
      <c r="K42" s="4"/>
      <c r="L42" s="6"/>
      <c r="M42" s="4"/>
    </row>
    <row r="43" customFormat="false" ht="18" hidden="false" customHeight="true" outlineLevel="0" collapsed="false">
      <c r="A43" s="7" t="s">
        <v>195</v>
      </c>
      <c r="B43" s="7" t="s">
        <v>196</v>
      </c>
      <c r="C43" s="7" t="s">
        <v>197</v>
      </c>
      <c r="D43" s="7" t="s">
        <v>18</v>
      </c>
      <c r="E43" s="7" t="s">
        <v>27</v>
      </c>
      <c r="F43" s="7" t="s">
        <v>198</v>
      </c>
      <c r="G43" s="8" t="s">
        <v>144</v>
      </c>
      <c r="H43" s="8" t="s">
        <v>109</v>
      </c>
      <c r="I43" s="8"/>
      <c r="J43" s="8" t="str">
        <f aca="false">IF(I43="","",G43*I43)</f>
        <v/>
      </c>
      <c r="K43" s="7" t="s">
        <v>35</v>
      </c>
      <c r="L43" s="9" t="s">
        <v>23</v>
      </c>
      <c r="M43" s="7" t="s">
        <v>199</v>
      </c>
    </row>
    <row r="44" customFormat="false" ht="18" hidden="false" customHeight="true" outlineLevel="0" collapsed="false">
      <c r="A44" s="4" t="s">
        <v>195</v>
      </c>
      <c r="B44" s="4" t="s">
        <v>200</v>
      </c>
      <c r="C44" s="4" t="s">
        <v>201</v>
      </c>
      <c r="D44" s="4" t="s">
        <v>18</v>
      </c>
      <c r="E44" s="4" t="s">
        <v>27</v>
      </c>
      <c r="F44" s="4" t="s">
        <v>202</v>
      </c>
      <c r="G44" s="5" t="s">
        <v>42</v>
      </c>
      <c r="H44" s="5" t="s">
        <v>42</v>
      </c>
      <c r="I44" s="5"/>
      <c r="J44" s="5" t="str">
        <f aca="false">IF(I44="","",G44*I44)</f>
        <v/>
      </c>
      <c r="K44" s="4" t="s">
        <v>35</v>
      </c>
      <c r="L44" s="9" t="s">
        <v>23</v>
      </c>
      <c r="M44" s="4"/>
    </row>
    <row r="45" customFormat="false" ht="18" hidden="false" customHeight="true" outlineLevel="0" collapsed="false">
      <c r="A45" s="7" t="s">
        <v>195</v>
      </c>
      <c r="B45" s="7" t="s">
        <v>203</v>
      </c>
      <c r="C45" s="7" t="s">
        <v>204</v>
      </c>
      <c r="D45" s="7" t="s">
        <v>18</v>
      </c>
      <c r="E45" s="7" t="s">
        <v>27</v>
      </c>
      <c r="F45" s="7" t="s">
        <v>205</v>
      </c>
      <c r="G45" s="8" t="s">
        <v>144</v>
      </c>
      <c r="H45" s="8" t="s">
        <v>109</v>
      </c>
      <c r="I45" s="8"/>
      <c r="J45" s="8" t="str">
        <f aca="false">IF(I45="","",G45*I45)</f>
        <v/>
      </c>
      <c r="K45" s="7" t="s">
        <v>35</v>
      </c>
      <c r="L45" s="9" t="s">
        <v>23</v>
      </c>
      <c r="M45" s="7"/>
    </row>
    <row r="46" customFormat="false" ht="18" hidden="false" customHeight="true" outlineLevel="0" collapsed="false">
      <c r="A46" s="4" t="s">
        <v>195</v>
      </c>
      <c r="B46" s="4" t="s">
        <v>206</v>
      </c>
      <c r="C46" s="4" t="s">
        <v>207</v>
      </c>
      <c r="D46" s="4" t="s">
        <v>153</v>
      </c>
      <c r="E46" s="4" t="s">
        <v>58</v>
      </c>
      <c r="F46" s="4" t="s">
        <v>208</v>
      </c>
      <c r="G46" s="5" t="s">
        <v>21</v>
      </c>
      <c r="H46" s="5" t="s">
        <v>21</v>
      </c>
      <c r="I46" s="5"/>
      <c r="J46" s="5" t="str">
        <f aca="false">IF(I46="","",G46*I46)</f>
        <v/>
      </c>
      <c r="K46" s="4" t="s">
        <v>156</v>
      </c>
      <c r="L46" s="9" t="s">
        <v>23</v>
      </c>
      <c r="M46" s="4"/>
    </row>
    <row r="47" customFormat="false" ht="18" hidden="false" customHeight="true" outlineLevel="0" collapsed="false">
      <c r="A47" s="7" t="s">
        <v>209</v>
      </c>
      <c r="B47" s="7"/>
      <c r="C47" s="7"/>
      <c r="D47" s="7"/>
      <c r="E47" s="7"/>
      <c r="F47" s="7"/>
      <c r="G47" s="8"/>
      <c r="H47" s="8"/>
      <c r="I47" s="8"/>
      <c r="J47" s="8" t="str">
        <f aca="false">IF(I47="","",G47*I47)</f>
        <v/>
      </c>
      <c r="K47" s="7"/>
      <c r="L47" s="6"/>
      <c r="M47" s="7"/>
    </row>
    <row r="48" customFormat="false" ht="18" hidden="false" customHeight="true" outlineLevel="0" collapsed="false">
      <c r="A48" s="4" t="s">
        <v>209</v>
      </c>
      <c r="B48" s="4" t="s">
        <v>210</v>
      </c>
      <c r="C48" s="4" t="s">
        <v>211</v>
      </c>
      <c r="D48" s="4" t="s">
        <v>57</v>
      </c>
      <c r="E48" s="4" t="s">
        <v>58</v>
      </c>
      <c r="F48" s="4" t="s">
        <v>212</v>
      </c>
      <c r="G48" s="5" t="s">
        <v>42</v>
      </c>
      <c r="H48" s="5" t="s">
        <v>42</v>
      </c>
      <c r="I48" s="5"/>
      <c r="J48" s="5" t="str">
        <f aca="false">IF(I48="","",G48*I48)</f>
        <v/>
      </c>
      <c r="K48" s="4" t="s">
        <v>43</v>
      </c>
      <c r="L48" s="9" t="s">
        <v>23</v>
      </c>
      <c r="M48" s="4" t="s">
        <v>213</v>
      </c>
    </row>
    <row r="49" customFormat="false" ht="18" hidden="false" customHeight="true" outlineLevel="0" collapsed="false">
      <c r="A49" s="7" t="s">
        <v>209</v>
      </c>
      <c r="B49" s="7" t="s">
        <v>214</v>
      </c>
      <c r="C49" s="7" t="s">
        <v>215</v>
      </c>
      <c r="D49" s="7" t="s">
        <v>57</v>
      </c>
      <c r="E49" s="7" t="s">
        <v>58</v>
      </c>
      <c r="F49" s="7" t="s">
        <v>216</v>
      </c>
      <c r="G49" s="8" t="s">
        <v>21</v>
      </c>
      <c r="H49" s="8" t="s">
        <v>21</v>
      </c>
      <c r="I49" s="8"/>
      <c r="J49" s="8" t="str">
        <f aca="false">IF(I49="","",G49*I49)</f>
        <v/>
      </c>
      <c r="K49" s="7" t="s">
        <v>43</v>
      </c>
      <c r="L49" s="10" t="s">
        <v>128</v>
      </c>
      <c r="M49" s="7"/>
    </row>
    <row r="50" customFormat="false" ht="18" hidden="false" customHeight="true" outlineLevel="0" collapsed="false">
      <c r="A50" s="4" t="s">
        <v>209</v>
      </c>
      <c r="B50" s="4" t="s">
        <v>217</v>
      </c>
      <c r="C50" s="4" t="s">
        <v>218</v>
      </c>
      <c r="D50" s="4" t="s">
        <v>57</v>
      </c>
      <c r="E50" s="4" t="s">
        <v>58</v>
      </c>
      <c r="F50" s="4" t="s">
        <v>219</v>
      </c>
      <c r="G50" s="5" t="s">
        <v>21</v>
      </c>
      <c r="H50" s="5" t="s">
        <v>21</v>
      </c>
      <c r="I50" s="5"/>
      <c r="J50" s="5" t="str">
        <f aca="false">IF(I50="","",G50*I50)</f>
        <v/>
      </c>
      <c r="K50" s="4" t="s">
        <v>35</v>
      </c>
      <c r="L50" s="10" t="s">
        <v>128</v>
      </c>
      <c r="M50" s="4"/>
    </row>
    <row r="51" customFormat="false" ht="21.75" hidden="false" customHeight="true" outlineLevel="0" collapsed="false">
      <c r="A51" s="12" t="s">
        <v>220</v>
      </c>
      <c r="B51" s="12"/>
      <c r="C51" s="12"/>
      <c r="D51" s="12"/>
      <c r="E51" s="12"/>
      <c r="F51" s="12"/>
      <c r="G51" s="12"/>
      <c r="H51" s="12"/>
      <c r="I51" s="12"/>
      <c r="J51" s="13" t="n">
        <f aca="false">SUMIF(J4:J50,"&lt;&gt;",J4:J50)</f>
        <v>0</v>
      </c>
    </row>
  </sheetData>
  <mergeCells count="3">
    <mergeCell ref="A1:M1"/>
    <mergeCell ref="A2:M2"/>
    <mergeCell ref="A51:I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22"/>
    <col collapsed="false" customWidth="true" hidden="false" outlineLevel="0" max="4" min="4" style="0" width="40"/>
    <col collapsed="false" customWidth="true" hidden="false" outlineLevel="0" max="5" min="5" style="0" width="30"/>
    <col collapsed="false" customWidth="true" hidden="false" outlineLevel="0" max="6" min="6" style="0" width="45"/>
    <col collapsed="false" customWidth="true" hidden="false" outlineLevel="0" max="7" min="7" style="0" width="20"/>
  </cols>
  <sheetData>
    <row r="1" customFormat="false" ht="24" hidden="false" customHeight="true" outlineLevel="0" collapsed="false">
      <c r="A1" s="14" t="s">
        <v>221</v>
      </c>
      <c r="B1" s="14"/>
      <c r="C1" s="14"/>
      <c r="D1" s="14"/>
      <c r="E1" s="14"/>
      <c r="F1" s="14"/>
      <c r="G1" s="14"/>
    </row>
    <row r="2" customFormat="false" ht="21.75" hidden="false" customHeight="true" outlineLevel="0" collapsed="false">
      <c r="A2" s="15" t="s">
        <v>222</v>
      </c>
      <c r="B2" s="15" t="s">
        <v>223</v>
      </c>
      <c r="C2" s="15" t="s">
        <v>6</v>
      </c>
      <c r="D2" s="15" t="s">
        <v>7</v>
      </c>
      <c r="E2" s="15" t="s">
        <v>224</v>
      </c>
      <c r="F2" s="15" t="s">
        <v>225</v>
      </c>
      <c r="G2" s="15" t="s">
        <v>226</v>
      </c>
    </row>
    <row r="3" customFormat="false" ht="15.75" hidden="false" customHeight="true" outlineLevel="0" collapsed="false">
      <c r="A3" s="16" t="s">
        <v>21</v>
      </c>
      <c r="B3" s="16" t="s">
        <v>18</v>
      </c>
      <c r="C3" s="16" t="s">
        <v>19</v>
      </c>
      <c r="D3" s="16" t="s">
        <v>227</v>
      </c>
      <c r="E3" s="16" t="s">
        <v>228</v>
      </c>
      <c r="F3" s="16" t="s">
        <v>229</v>
      </c>
      <c r="G3" s="16" t="s">
        <v>230</v>
      </c>
    </row>
    <row r="4" customFormat="false" ht="15.75" hidden="false" customHeight="true" outlineLevel="0" collapsed="false">
      <c r="A4" s="17" t="s">
        <v>42</v>
      </c>
      <c r="B4" s="17" t="s">
        <v>231</v>
      </c>
      <c r="C4" s="17" t="s">
        <v>232</v>
      </c>
      <c r="D4" s="17" t="s">
        <v>233</v>
      </c>
      <c r="E4" s="17"/>
      <c r="F4" s="17" t="s">
        <v>234</v>
      </c>
      <c r="G4" s="17" t="s">
        <v>235</v>
      </c>
    </row>
    <row r="5" customFormat="false" ht="15.75" hidden="false" customHeight="true" outlineLevel="0" collapsed="false">
      <c r="A5" s="16" t="s">
        <v>60</v>
      </c>
      <c r="B5" s="16" t="s">
        <v>236</v>
      </c>
      <c r="C5" s="16" t="s">
        <v>237</v>
      </c>
      <c r="D5" s="16" t="s">
        <v>238</v>
      </c>
      <c r="E5" s="16"/>
      <c r="F5" s="16" t="s">
        <v>239</v>
      </c>
      <c r="G5" s="16" t="s">
        <v>240</v>
      </c>
    </row>
    <row r="6" customFormat="false" ht="15.75" hidden="false" customHeight="true" outlineLevel="0" collapsed="false">
      <c r="A6" s="17" t="s">
        <v>91</v>
      </c>
      <c r="B6" s="17" t="s">
        <v>236</v>
      </c>
      <c r="C6" s="17" t="s">
        <v>241</v>
      </c>
      <c r="D6" s="17" t="s">
        <v>242</v>
      </c>
      <c r="E6" s="17"/>
      <c r="F6" s="17" t="s">
        <v>243</v>
      </c>
      <c r="G6" s="17" t="s">
        <v>244</v>
      </c>
    </row>
    <row r="7" customFormat="false" ht="15.75" hidden="false" customHeight="true" outlineLevel="0" collapsed="false">
      <c r="A7" s="16" t="s">
        <v>245</v>
      </c>
      <c r="B7" s="16" t="s">
        <v>18</v>
      </c>
      <c r="C7" s="16" t="s">
        <v>246</v>
      </c>
      <c r="D7" s="16" t="s">
        <v>247</v>
      </c>
      <c r="E7" s="16"/>
      <c r="F7" s="16" t="s">
        <v>248</v>
      </c>
      <c r="G7" s="16" t="s">
        <v>249</v>
      </c>
    </row>
    <row r="8" customFormat="false" ht="15.75" hidden="false" customHeight="true" outlineLevel="0" collapsed="false">
      <c r="A8" s="17" t="s">
        <v>144</v>
      </c>
      <c r="B8" s="17" t="s">
        <v>18</v>
      </c>
      <c r="C8" s="17" t="s">
        <v>250</v>
      </c>
      <c r="D8" s="17" t="s">
        <v>251</v>
      </c>
      <c r="E8" s="17"/>
      <c r="F8" s="17" t="s">
        <v>252</v>
      </c>
      <c r="G8" s="17" t="s">
        <v>253</v>
      </c>
    </row>
    <row r="9" customFormat="false" ht="15.75" hidden="false" customHeight="true" outlineLevel="0" collapsed="false">
      <c r="A9" s="16" t="s">
        <v>254</v>
      </c>
      <c r="B9" s="16" t="s">
        <v>138</v>
      </c>
      <c r="C9" s="16" t="s">
        <v>255</v>
      </c>
      <c r="D9" s="16" t="s">
        <v>256</v>
      </c>
      <c r="E9" s="16"/>
      <c r="F9" s="16" t="s">
        <v>257</v>
      </c>
      <c r="G9" s="16" t="s">
        <v>258</v>
      </c>
    </row>
    <row r="10" customFormat="false" ht="15.75" hidden="false" customHeight="true" outlineLevel="0" collapsed="false">
      <c r="A10" s="17" t="s">
        <v>109</v>
      </c>
      <c r="B10" s="17" t="s">
        <v>138</v>
      </c>
      <c r="C10" s="17" t="s">
        <v>259</v>
      </c>
      <c r="D10" s="17" t="s">
        <v>260</v>
      </c>
      <c r="E10" s="17"/>
      <c r="F10" s="17" t="s">
        <v>261</v>
      </c>
      <c r="G10" s="17" t="s">
        <v>262</v>
      </c>
    </row>
    <row r="11" customFormat="false" ht="15.75" hidden="false" customHeight="true" outlineLevel="0" collapsed="false">
      <c r="A11" s="16" t="s">
        <v>263</v>
      </c>
      <c r="B11" s="16" t="s">
        <v>18</v>
      </c>
      <c r="C11" s="16" t="s">
        <v>264</v>
      </c>
      <c r="D11" s="16" t="s">
        <v>265</v>
      </c>
      <c r="E11" s="16"/>
      <c r="F11" s="16" t="s">
        <v>266</v>
      </c>
      <c r="G11" s="16" t="s">
        <v>258</v>
      </c>
    </row>
    <row r="12" customFormat="false" ht="15.75" hidden="false" customHeight="true" outlineLevel="0" collapsed="false">
      <c r="A12" s="17" t="s">
        <v>110</v>
      </c>
      <c r="B12" s="17" t="s">
        <v>18</v>
      </c>
      <c r="C12" s="17" t="s">
        <v>267</v>
      </c>
      <c r="D12" s="17" t="s">
        <v>268</v>
      </c>
      <c r="E12" s="17"/>
      <c r="F12" s="17" t="s">
        <v>269</v>
      </c>
      <c r="G12" s="17" t="s">
        <v>270</v>
      </c>
    </row>
    <row r="13" customFormat="false" ht="15.75" hidden="false" customHeight="true" outlineLevel="0" collapsed="false">
      <c r="A13" s="16" t="s">
        <v>271</v>
      </c>
      <c r="B13" s="16" t="s">
        <v>236</v>
      </c>
      <c r="C13" s="16" t="s">
        <v>272</v>
      </c>
      <c r="D13" s="16" t="s">
        <v>273</v>
      </c>
      <c r="E13" s="16"/>
      <c r="F13" s="16" t="s">
        <v>274</v>
      </c>
      <c r="G13" s="16" t="s">
        <v>275</v>
      </c>
    </row>
    <row r="14" customFormat="false" ht="15.75" hidden="false" customHeight="true" outlineLevel="0" collapsed="false">
      <c r="A14" s="17" t="s">
        <v>140</v>
      </c>
      <c r="B14" s="17" t="s">
        <v>138</v>
      </c>
      <c r="C14" s="17" t="s">
        <v>276</v>
      </c>
      <c r="D14" s="17" t="s">
        <v>277</v>
      </c>
      <c r="E14" s="17"/>
      <c r="F14" s="17" t="s">
        <v>278</v>
      </c>
      <c r="G14" s="17" t="s">
        <v>279</v>
      </c>
    </row>
    <row r="15" customFormat="false" ht="15.75" hidden="false" customHeight="true" outlineLevel="0" collapsed="false">
      <c r="A15" s="16" t="s">
        <v>280</v>
      </c>
      <c r="B15" s="16" t="s">
        <v>101</v>
      </c>
      <c r="C15" s="16" t="s">
        <v>281</v>
      </c>
      <c r="D15" s="16" t="s">
        <v>282</v>
      </c>
      <c r="E15" s="16"/>
      <c r="F15" s="16" t="s">
        <v>283</v>
      </c>
      <c r="G15" s="16" t="s">
        <v>284</v>
      </c>
    </row>
    <row r="16" customFormat="false" ht="15.75" hidden="false" customHeight="true" outlineLevel="0" collapsed="false">
      <c r="A16" s="17" t="s">
        <v>285</v>
      </c>
      <c r="B16" s="17" t="s">
        <v>101</v>
      </c>
      <c r="C16" s="17" t="s">
        <v>286</v>
      </c>
      <c r="D16" s="17" t="s">
        <v>287</v>
      </c>
      <c r="E16" s="17"/>
      <c r="F16" s="17" t="s">
        <v>283</v>
      </c>
      <c r="G16" s="17" t="s">
        <v>284</v>
      </c>
    </row>
    <row r="17" customFormat="false" ht="15.75" hidden="false" customHeight="true" outlineLevel="0" collapsed="false">
      <c r="A17" s="16" t="s">
        <v>288</v>
      </c>
      <c r="B17" s="16" t="s">
        <v>18</v>
      </c>
      <c r="C17" s="16" t="s">
        <v>289</v>
      </c>
      <c r="D17" s="16" t="s">
        <v>290</v>
      </c>
      <c r="E17" s="16"/>
      <c r="F17" s="16" t="s">
        <v>291</v>
      </c>
      <c r="G17" s="16" t="s">
        <v>292</v>
      </c>
    </row>
    <row r="18" customFormat="false" ht="15.75" hidden="false" customHeight="true" outlineLevel="0" collapsed="false">
      <c r="A18" s="17" t="s">
        <v>293</v>
      </c>
      <c r="B18" s="17" t="s">
        <v>294</v>
      </c>
      <c r="C18" s="17" t="s">
        <v>295</v>
      </c>
      <c r="D18" s="17" t="s">
        <v>296</v>
      </c>
      <c r="E18" s="17"/>
      <c r="F18" s="17" t="s">
        <v>297</v>
      </c>
      <c r="G18" s="17" t="s">
        <v>298</v>
      </c>
    </row>
    <row r="19" customFormat="false" ht="15.75" hidden="false" customHeight="true" outlineLevel="0" collapsed="false">
      <c r="A19" s="16" t="s">
        <v>299</v>
      </c>
      <c r="B19" s="16" t="s">
        <v>236</v>
      </c>
      <c r="C19" s="16" t="s">
        <v>96</v>
      </c>
      <c r="D19" s="16" t="s">
        <v>300</v>
      </c>
      <c r="E19" s="16"/>
      <c r="F19" s="16" t="s">
        <v>301</v>
      </c>
      <c r="G19" s="16" t="s">
        <v>292</v>
      </c>
    </row>
    <row r="20" customFormat="false" ht="15.75" hidden="false" customHeight="true" outlineLevel="0" collapsed="false">
      <c r="A20" s="17" t="s">
        <v>302</v>
      </c>
      <c r="B20" s="17" t="s">
        <v>18</v>
      </c>
      <c r="C20" s="17" t="s">
        <v>303</v>
      </c>
      <c r="D20" s="17" t="s">
        <v>304</v>
      </c>
      <c r="E20" s="17"/>
      <c r="F20" s="17" t="s">
        <v>305</v>
      </c>
      <c r="G20" s="17" t="s">
        <v>306</v>
      </c>
    </row>
    <row r="21" customFormat="false" ht="15.75" hidden="false" customHeight="true" outlineLevel="0" collapsed="false">
      <c r="A21" s="16" t="s">
        <v>307</v>
      </c>
      <c r="B21" s="16" t="s">
        <v>231</v>
      </c>
      <c r="C21" s="16" t="s">
        <v>308</v>
      </c>
      <c r="D21" s="16" t="s">
        <v>309</v>
      </c>
      <c r="E21" s="16"/>
      <c r="F21" s="16" t="s">
        <v>310</v>
      </c>
      <c r="G21" s="16" t="s">
        <v>311</v>
      </c>
    </row>
    <row r="22" customFormat="false" ht="15.75" hidden="false" customHeight="true" outlineLevel="0" collapsed="false">
      <c r="A22" s="17" t="s">
        <v>127</v>
      </c>
      <c r="B22" s="17" t="s">
        <v>236</v>
      </c>
      <c r="C22" s="17" t="s">
        <v>72</v>
      </c>
      <c r="D22" s="17" t="s">
        <v>312</v>
      </c>
      <c r="E22" s="17"/>
      <c r="F22" s="17" t="s">
        <v>313</v>
      </c>
      <c r="G22" s="17" t="s">
        <v>314</v>
      </c>
    </row>
    <row r="23" customFormat="false" ht="15.75" hidden="false" customHeight="true" outlineLevel="0" collapsed="false">
      <c r="A23" s="16" t="s">
        <v>315</v>
      </c>
      <c r="B23" s="16" t="s">
        <v>316</v>
      </c>
      <c r="C23" s="16" t="s">
        <v>317</v>
      </c>
      <c r="D23" s="16" t="s">
        <v>318</v>
      </c>
      <c r="E23" s="16"/>
      <c r="F23" s="16" t="s">
        <v>319</v>
      </c>
      <c r="G23" s="16" t="s">
        <v>320</v>
      </c>
    </row>
    <row r="24" customFormat="false" ht="15.75" hidden="false" customHeight="true" outlineLevel="0" collapsed="false">
      <c r="A24" s="17" t="s">
        <v>321</v>
      </c>
      <c r="B24" s="17" t="s">
        <v>18</v>
      </c>
      <c r="C24" s="17" t="s">
        <v>322</v>
      </c>
      <c r="D24" s="17" t="s">
        <v>323</v>
      </c>
      <c r="E24" s="17"/>
      <c r="F24" s="17" t="s">
        <v>324</v>
      </c>
      <c r="G24" s="17" t="s">
        <v>325</v>
      </c>
    </row>
    <row r="25" customFormat="false" ht="15.75" hidden="false" customHeight="true" outlineLevel="0" collapsed="false">
      <c r="A25" s="16" t="s">
        <v>326</v>
      </c>
      <c r="B25" s="16" t="s">
        <v>327</v>
      </c>
      <c r="C25" s="16" t="s">
        <v>328</v>
      </c>
      <c r="D25" s="16" t="s">
        <v>329</v>
      </c>
      <c r="E25" s="16"/>
      <c r="F25" s="16" t="s">
        <v>330</v>
      </c>
      <c r="G25" s="16" t="s">
        <v>331</v>
      </c>
    </row>
    <row r="26" customFormat="false" ht="15.75" hidden="false" customHeight="true" outlineLevel="0" collapsed="false">
      <c r="A26" s="17" t="s">
        <v>332</v>
      </c>
      <c r="B26" s="17" t="s">
        <v>327</v>
      </c>
      <c r="C26" s="17" t="s">
        <v>333</v>
      </c>
      <c r="D26" s="17" t="s">
        <v>334</v>
      </c>
      <c r="E26" s="17"/>
      <c r="F26" s="17" t="s">
        <v>335</v>
      </c>
      <c r="G26" s="17" t="s">
        <v>292</v>
      </c>
    </row>
    <row r="27" customFormat="false" ht="15.75" hidden="false" customHeight="true" outlineLevel="0" collapsed="false">
      <c r="A27" s="16" t="s">
        <v>336</v>
      </c>
      <c r="B27" s="16" t="s">
        <v>337</v>
      </c>
      <c r="C27" s="16" t="s">
        <v>338</v>
      </c>
      <c r="D27" s="16" t="s">
        <v>339</v>
      </c>
      <c r="E27" s="16"/>
      <c r="F27" s="16" t="s">
        <v>340</v>
      </c>
      <c r="G27" s="16" t="s">
        <v>341</v>
      </c>
    </row>
    <row r="28" customFormat="false" ht="15.75" hidden="false" customHeight="true" outlineLevel="0" collapsed="false">
      <c r="A28" s="17" t="s">
        <v>342</v>
      </c>
      <c r="B28" s="17" t="s">
        <v>337</v>
      </c>
      <c r="C28" s="17" t="s">
        <v>343</v>
      </c>
      <c r="D28" s="17" t="s">
        <v>344</v>
      </c>
      <c r="E28" s="17"/>
      <c r="F28" s="17" t="s">
        <v>345</v>
      </c>
      <c r="G28" s="17" t="s">
        <v>341</v>
      </c>
    </row>
    <row r="29" customFormat="false" ht="15.75" hidden="false" customHeight="true" outlineLevel="0" collapsed="false">
      <c r="A29" s="16" t="s">
        <v>346</v>
      </c>
      <c r="B29" s="16" t="s">
        <v>337</v>
      </c>
      <c r="C29" s="16" t="s">
        <v>347</v>
      </c>
      <c r="D29" s="16" t="s">
        <v>348</v>
      </c>
      <c r="E29" s="16"/>
      <c r="F29" s="16" t="s">
        <v>349</v>
      </c>
      <c r="G29" s="16" t="s">
        <v>350</v>
      </c>
    </row>
    <row r="30" customFormat="false" ht="15.75" hidden="false" customHeight="true" outlineLevel="0" collapsed="false">
      <c r="A30" s="17" t="s">
        <v>351</v>
      </c>
      <c r="B30" s="17" t="s">
        <v>337</v>
      </c>
      <c r="C30" s="17" t="s">
        <v>352</v>
      </c>
      <c r="D30" s="17" t="s">
        <v>353</v>
      </c>
      <c r="E30" s="17"/>
      <c r="F30" s="17" t="s">
        <v>354</v>
      </c>
      <c r="G30" s="17" t="s">
        <v>355</v>
      </c>
    </row>
    <row r="31" customFormat="false" ht="15.75" hidden="false" customHeight="true" outlineLevel="0" collapsed="false">
      <c r="A31" s="16" t="s">
        <v>356</v>
      </c>
      <c r="B31" s="16" t="s">
        <v>337</v>
      </c>
      <c r="C31" s="16" t="s">
        <v>357</v>
      </c>
      <c r="D31" s="16" t="s">
        <v>358</v>
      </c>
      <c r="E31" s="16"/>
      <c r="F31" s="16" t="s">
        <v>359</v>
      </c>
      <c r="G31" s="16" t="s">
        <v>355</v>
      </c>
    </row>
    <row r="32" customFormat="false" ht="15.75" hidden="false" customHeight="true" outlineLevel="0" collapsed="false">
      <c r="A32" s="17" t="s">
        <v>134</v>
      </c>
      <c r="B32" s="17" t="s">
        <v>337</v>
      </c>
      <c r="C32" s="17" t="s">
        <v>360</v>
      </c>
      <c r="D32" s="17" t="s">
        <v>361</v>
      </c>
      <c r="E32" s="17"/>
      <c r="F32" s="17" t="s">
        <v>362</v>
      </c>
      <c r="G32" s="17" t="s">
        <v>355</v>
      </c>
    </row>
    <row r="33" customFormat="false" ht="15.75" hidden="false" customHeight="true" outlineLevel="0" collapsed="false">
      <c r="A33" s="16" t="s">
        <v>363</v>
      </c>
      <c r="B33" s="16" t="s">
        <v>337</v>
      </c>
      <c r="C33" s="16" t="s">
        <v>364</v>
      </c>
      <c r="D33" s="16" t="s">
        <v>365</v>
      </c>
      <c r="E33" s="16"/>
      <c r="F33" s="16" t="s">
        <v>366</v>
      </c>
      <c r="G33" s="16" t="s">
        <v>355</v>
      </c>
    </row>
    <row r="34" customFormat="false" ht="15.75" hidden="false" customHeight="true" outlineLevel="0" collapsed="false">
      <c r="A34" s="17" t="s">
        <v>367</v>
      </c>
      <c r="B34" s="17" t="s">
        <v>337</v>
      </c>
      <c r="C34" s="17" t="s">
        <v>368</v>
      </c>
      <c r="D34" s="17" t="s">
        <v>369</v>
      </c>
      <c r="E34" s="17"/>
      <c r="F34" s="17" t="s">
        <v>370</v>
      </c>
      <c r="G34" s="17" t="s">
        <v>355</v>
      </c>
    </row>
    <row r="35" customFormat="false" ht="15.75" hidden="false" customHeight="true" outlineLevel="0" collapsed="false">
      <c r="A35" s="16" t="s">
        <v>371</v>
      </c>
      <c r="B35" s="16" t="s">
        <v>337</v>
      </c>
      <c r="C35" s="16" t="s">
        <v>372</v>
      </c>
      <c r="D35" s="16" t="s">
        <v>373</v>
      </c>
      <c r="E35" s="16"/>
      <c r="F35" s="16" t="s">
        <v>374</v>
      </c>
      <c r="G35" s="16" t="s">
        <v>292</v>
      </c>
    </row>
    <row r="36" customFormat="false" ht="15.75" hidden="false" customHeight="true" outlineLevel="0" collapsed="false">
      <c r="A36" s="17" t="s">
        <v>375</v>
      </c>
      <c r="B36" s="17" t="s">
        <v>18</v>
      </c>
      <c r="C36" s="17" t="s">
        <v>376</v>
      </c>
      <c r="D36" s="17" t="s">
        <v>377</v>
      </c>
      <c r="E36" s="17"/>
      <c r="F36" s="17" t="s">
        <v>378</v>
      </c>
      <c r="G36" s="17" t="s">
        <v>292</v>
      </c>
    </row>
    <row r="37" customFormat="false" ht="15.75" hidden="false" customHeight="true" outlineLevel="0" collapsed="false">
      <c r="A37" s="16" t="s">
        <v>379</v>
      </c>
      <c r="B37" s="16" t="s">
        <v>18</v>
      </c>
      <c r="C37" s="16" t="s">
        <v>380</v>
      </c>
      <c r="D37" s="16" t="s">
        <v>381</v>
      </c>
      <c r="E37" s="16"/>
      <c r="F37" s="16" t="s">
        <v>382</v>
      </c>
      <c r="G37" s="16" t="s">
        <v>292</v>
      </c>
    </row>
    <row r="38" customFormat="false" ht="15.75" hidden="false" customHeight="true" outlineLevel="0" collapsed="false">
      <c r="A38" s="17" t="s">
        <v>383</v>
      </c>
      <c r="B38" s="17" t="s">
        <v>18</v>
      </c>
      <c r="C38" s="17" t="s">
        <v>384</v>
      </c>
      <c r="D38" s="17" t="s">
        <v>385</v>
      </c>
      <c r="E38" s="17"/>
      <c r="F38" s="17" t="s">
        <v>386</v>
      </c>
      <c r="G38" s="17" t="s">
        <v>292</v>
      </c>
    </row>
    <row r="39" customFormat="false" ht="15.75" hidden="false" customHeight="true" outlineLevel="0" collapsed="false">
      <c r="A39" s="16" t="s">
        <v>387</v>
      </c>
      <c r="B39" s="16" t="s">
        <v>18</v>
      </c>
      <c r="C39" s="16" t="s">
        <v>388</v>
      </c>
      <c r="D39" s="16" t="s">
        <v>389</v>
      </c>
      <c r="E39" s="16"/>
      <c r="F39" s="16" t="s">
        <v>390</v>
      </c>
      <c r="G39" s="16" t="s">
        <v>292</v>
      </c>
    </row>
    <row r="40" customFormat="false" ht="15.75" hidden="false" customHeight="true" outlineLevel="0" collapsed="false">
      <c r="A40" s="17" t="s">
        <v>391</v>
      </c>
      <c r="B40" s="17" t="s">
        <v>392</v>
      </c>
      <c r="C40" s="17" t="s">
        <v>393</v>
      </c>
      <c r="D40" s="17" t="s">
        <v>394</v>
      </c>
      <c r="E40" s="17"/>
      <c r="F40" s="17" t="s">
        <v>395</v>
      </c>
      <c r="G40" s="17" t="s">
        <v>292</v>
      </c>
    </row>
    <row r="41" customFormat="false" ht="15.75" hidden="false" customHeight="true" outlineLevel="0" collapsed="false">
      <c r="A41" s="16" t="s">
        <v>396</v>
      </c>
      <c r="B41" s="16" t="s">
        <v>392</v>
      </c>
      <c r="C41" s="16" t="s">
        <v>397</v>
      </c>
      <c r="D41" s="16" t="s">
        <v>398</v>
      </c>
      <c r="E41" s="16"/>
      <c r="F41" s="16" t="s">
        <v>399</v>
      </c>
      <c r="G41" s="16" t="s">
        <v>400</v>
      </c>
    </row>
    <row r="42" customFormat="false" ht="15.75" hidden="false" customHeight="true" outlineLevel="0" collapsed="false">
      <c r="A42" s="17" t="s">
        <v>401</v>
      </c>
      <c r="B42" s="17" t="s">
        <v>392</v>
      </c>
      <c r="C42" s="17" t="s">
        <v>402</v>
      </c>
      <c r="D42" s="17" t="s">
        <v>403</v>
      </c>
      <c r="E42" s="17"/>
      <c r="F42" s="17" t="s">
        <v>404</v>
      </c>
      <c r="G42" s="17" t="s">
        <v>405</v>
      </c>
    </row>
    <row r="43" customFormat="false" ht="15.75" hidden="false" customHeight="true" outlineLevel="0" collapsed="false">
      <c r="A43" s="16" t="s">
        <v>406</v>
      </c>
      <c r="B43" s="16" t="s">
        <v>392</v>
      </c>
      <c r="C43" s="16" t="s">
        <v>407</v>
      </c>
      <c r="D43" s="16" t="s">
        <v>408</v>
      </c>
      <c r="E43" s="16"/>
      <c r="F43" s="16" t="s">
        <v>409</v>
      </c>
      <c r="G43" s="16" t="s">
        <v>410</v>
      </c>
    </row>
    <row r="44" customFormat="false" ht="15.75" hidden="false" customHeight="true" outlineLevel="0" collapsed="false">
      <c r="A44" s="17" t="s">
        <v>411</v>
      </c>
      <c r="B44" s="17" t="s">
        <v>337</v>
      </c>
      <c r="C44" s="17" t="s">
        <v>412</v>
      </c>
      <c r="D44" s="17" t="s">
        <v>413</v>
      </c>
      <c r="E44" s="17"/>
      <c r="F44" s="17" t="s">
        <v>414</v>
      </c>
      <c r="G44" s="17" t="s">
        <v>415</v>
      </c>
    </row>
    <row r="45" customFormat="false" ht="15.75" hidden="false" customHeight="true" outlineLevel="0" collapsed="false">
      <c r="A45" s="16" t="s">
        <v>416</v>
      </c>
      <c r="B45" s="16" t="s">
        <v>337</v>
      </c>
      <c r="C45" s="16" t="s">
        <v>417</v>
      </c>
      <c r="D45" s="16" t="s">
        <v>418</v>
      </c>
      <c r="E45" s="16"/>
      <c r="F45" s="16" t="s">
        <v>419</v>
      </c>
      <c r="G45" s="16" t="s">
        <v>415</v>
      </c>
    </row>
    <row r="46" customFormat="false" ht="15.75" hidden="false" customHeight="true" outlineLevel="0" collapsed="false">
      <c r="A46" s="17" t="s">
        <v>420</v>
      </c>
      <c r="B46" s="17" t="s">
        <v>337</v>
      </c>
      <c r="C46" s="17" t="s">
        <v>421</v>
      </c>
      <c r="D46" s="17" t="s">
        <v>422</v>
      </c>
      <c r="E46" s="17"/>
      <c r="F46" s="17" t="s">
        <v>423</v>
      </c>
      <c r="G46" s="17" t="s">
        <v>424</v>
      </c>
    </row>
    <row r="47" customFormat="false" ht="15.75" hidden="false" customHeight="true" outlineLevel="0" collapsed="false">
      <c r="A47" s="16" t="s">
        <v>425</v>
      </c>
      <c r="B47" s="16" t="s">
        <v>337</v>
      </c>
      <c r="C47" s="16" t="s">
        <v>426</v>
      </c>
      <c r="D47" s="16" t="s">
        <v>427</v>
      </c>
      <c r="E47" s="16"/>
      <c r="F47" s="16" t="s">
        <v>428</v>
      </c>
      <c r="G47" s="16" t="s">
        <v>424</v>
      </c>
    </row>
    <row r="48" customFormat="false" ht="15.75" hidden="false" customHeight="true" outlineLevel="0" collapsed="false">
      <c r="A48" s="17" t="s">
        <v>429</v>
      </c>
      <c r="B48" s="17" t="s">
        <v>337</v>
      </c>
      <c r="C48" s="17" t="s">
        <v>430</v>
      </c>
      <c r="D48" s="17" t="s">
        <v>431</v>
      </c>
      <c r="E48" s="17"/>
      <c r="F48" s="17" t="s">
        <v>432</v>
      </c>
      <c r="G48" s="17" t="s">
        <v>433</v>
      </c>
    </row>
    <row r="49" customFormat="false" ht="15.75" hidden="false" customHeight="true" outlineLevel="0" collapsed="false">
      <c r="A49" s="16" t="s">
        <v>434</v>
      </c>
      <c r="B49" s="16" t="s">
        <v>18</v>
      </c>
      <c r="C49" s="16" t="s">
        <v>435</v>
      </c>
      <c r="D49" s="16" t="s">
        <v>436</v>
      </c>
      <c r="E49" s="16"/>
      <c r="F49" s="16" t="s">
        <v>437</v>
      </c>
      <c r="G49" s="16" t="s">
        <v>298</v>
      </c>
    </row>
    <row r="50" customFormat="false" ht="15.75" hidden="false" customHeight="true" outlineLevel="0" collapsed="false">
      <c r="A50" s="17" t="s">
        <v>438</v>
      </c>
      <c r="B50" s="17" t="s">
        <v>18</v>
      </c>
      <c r="C50" s="17" t="s">
        <v>439</v>
      </c>
      <c r="D50" s="17" t="s">
        <v>440</v>
      </c>
      <c r="E50" s="17"/>
      <c r="F50" s="17" t="s">
        <v>441</v>
      </c>
      <c r="G50" s="17" t="s">
        <v>292</v>
      </c>
    </row>
    <row r="51" customFormat="false" ht="15.75" hidden="false" customHeight="true" outlineLevel="0" collapsed="false">
      <c r="A51" s="16" t="s">
        <v>442</v>
      </c>
      <c r="B51" s="16" t="s">
        <v>18</v>
      </c>
      <c r="C51" s="16" t="s">
        <v>443</v>
      </c>
      <c r="D51" s="16" t="s">
        <v>444</v>
      </c>
      <c r="E51" s="16"/>
      <c r="F51" s="16" t="s">
        <v>445</v>
      </c>
      <c r="G51" s="16" t="s">
        <v>292</v>
      </c>
    </row>
    <row r="52" customFormat="false" ht="15.75" hidden="false" customHeight="true" outlineLevel="0" collapsed="false">
      <c r="A52" s="17" t="s">
        <v>446</v>
      </c>
      <c r="B52" s="17" t="s">
        <v>392</v>
      </c>
      <c r="C52" s="17" t="s">
        <v>447</v>
      </c>
      <c r="D52" s="17" t="s">
        <v>448</v>
      </c>
      <c r="E52" s="17"/>
      <c r="F52" s="17" t="s">
        <v>449</v>
      </c>
      <c r="G52" s="17" t="s">
        <v>306</v>
      </c>
    </row>
    <row r="53" customFormat="false" ht="15.75" hidden="false" customHeight="true" outlineLevel="0" collapsed="false">
      <c r="A53" s="16" t="s">
        <v>450</v>
      </c>
      <c r="B53" s="16" t="s">
        <v>392</v>
      </c>
      <c r="C53" s="16" t="s">
        <v>451</v>
      </c>
      <c r="D53" s="16" t="s">
        <v>452</v>
      </c>
      <c r="E53" s="16"/>
      <c r="F53" s="16" t="s">
        <v>453</v>
      </c>
      <c r="G53" s="16" t="s">
        <v>292</v>
      </c>
    </row>
    <row r="54" customFormat="false" ht="15.75" hidden="false" customHeight="true" outlineLevel="0" collapsed="false">
      <c r="A54" s="17" t="s">
        <v>454</v>
      </c>
      <c r="B54" s="17" t="s">
        <v>392</v>
      </c>
      <c r="C54" s="17" t="s">
        <v>455</v>
      </c>
      <c r="D54" s="17" t="s">
        <v>456</v>
      </c>
      <c r="E54" s="17"/>
      <c r="F54" s="17" t="s">
        <v>457</v>
      </c>
      <c r="G54" s="17" t="s">
        <v>292</v>
      </c>
    </row>
    <row r="55" customFormat="false" ht="15.75" hidden="false" customHeight="true" outlineLevel="0" collapsed="false">
      <c r="A55" s="16" t="s">
        <v>458</v>
      </c>
      <c r="B55" s="16" t="s">
        <v>337</v>
      </c>
      <c r="C55" s="16" t="s">
        <v>459</v>
      </c>
      <c r="D55" s="16" t="s">
        <v>460</v>
      </c>
      <c r="E55" s="16"/>
      <c r="F55" s="16" t="s">
        <v>461</v>
      </c>
      <c r="G55" s="16" t="s">
        <v>462</v>
      </c>
    </row>
    <row r="56" customFormat="false" ht="15.75" hidden="false" customHeight="true" outlineLevel="0" collapsed="false">
      <c r="A56" s="17" t="s">
        <v>463</v>
      </c>
      <c r="B56" s="17" t="s">
        <v>337</v>
      </c>
      <c r="C56" s="17" t="s">
        <v>464</v>
      </c>
      <c r="D56" s="17" t="s">
        <v>465</v>
      </c>
      <c r="E56" s="17"/>
      <c r="F56" s="17" t="s">
        <v>466</v>
      </c>
      <c r="G56" s="17" t="s">
        <v>462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42"/>
  </cols>
  <sheetData>
    <row r="1" customFormat="false" ht="27.75" hidden="false" customHeight="true" outlineLevel="0" collapsed="false">
      <c r="A1" s="18" t="s">
        <v>467</v>
      </c>
      <c r="B1" s="18"/>
      <c r="C1" s="18"/>
    </row>
    <row r="2" customFormat="false" ht="21.75" hidden="false" customHeight="true" outlineLevel="0" collapsed="false">
      <c r="A2" s="19" t="s">
        <v>13</v>
      </c>
      <c r="B2" s="19" t="s">
        <v>468</v>
      </c>
      <c r="C2" s="19" t="s">
        <v>469</v>
      </c>
    </row>
    <row r="3" customFormat="false" ht="18" hidden="false" customHeight="true" outlineLevel="0" collapsed="false">
      <c r="A3" s="9" t="s">
        <v>23</v>
      </c>
      <c r="B3" s="7" t="s">
        <v>470</v>
      </c>
      <c r="C3" s="7" t="s">
        <v>471</v>
      </c>
    </row>
    <row r="4" customFormat="false" ht="18" hidden="false" customHeight="true" outlineLevel="0" collapsed="false">
      <c r="A4" s="11" t="s">
        <v>182</v>
      </c>
      <c r="B4" s="4" t="s">
        <v>472</v>
      </c>
      <c r="C4" s="4" t="s">
        <v>473</v>
      </c>
    </row>
    <row r="5" customFormat="false" ht="18" hidden="false" customHeight="true" outlineLevel="0" collapsed="false">
      <c r="A5" s="20" t="s">
        <v>474</v>
      </c>
      <c r="B5" s="7" t="s">
        <v>475</v>
      </c>
      <c r="C5" s="7" t="s">
        <v>476</v>
      </c>
    </row>
    <row r="6" customFormat="false" ht="18" hidden="false" customHeight="true" outlineLevel="0" collapsed="false">
      <c r="A6" s="10" t="s">
        <v>128</v>
      </c>
      <c r="B6" s="4" t="s">
        <v>477</v>
      </c>
      <c r="C6" s="4" t="s">
        <v>478</v>
      </c>
    </row>
    <row r="7" customFormat="false" ht="18" hidden="false" customHeight="true" outlineLevel="0" collapsed="false">
      <c r="A7" s="21" t="s">
        <v>27</v>
      </c>
      <c r="B7" s="7" t="s">
        <v>479</v>
      </c>
      <c r="C7" s="7" t="s">
        <v>480</v>
      </c>
    </row>
    <row r="9" customFormat="false" ht="21.75" hidden="false" customHeight="true" outlineLevel="0" collapsed="false">
      <c r="A9" s="22" t="s">
        <v>481</v>
      </c>
      <c r="B9" s="22"/>
      <c r="C9" s="22"/>
    </row>
    <row r="10" customFormat="false" ht="16.5" hidden="false" customHeight="true" outlineLevel="0" collapsed="false">
      <c r="A10" s="4" t="s">
        <v>482</v>
      </c>
      <c r="B10" s="4" t="s">
        <v>483</v>
      </c>
      <c r="C10" s="4" t="s">
        <v>484</v>
      </c>
    </row>
    <row r="11" customFormat="false" ht="16.5" hidden="false" customHeight="true" outlineLevel="0" collapsed="false">
      <c r="A11" s="7" t="s">
        <v>485</v>
      </c>
      <c r="B11" s="7" t="s">
        <v>486</v>
      </c>
      <c r="C11" s="7" t="s">
        <v>487</v>
      </c>
    </row>
    <row r="12" customFormat="false" ht="16.5" hidden="false" customHeight="true" outlineLevel="0" collapsed="false">
      <c r="A12" s="4" t="s">
        <v>488</v>
      </c>
      <c r="B12" s="4" t="s">
        <v>489</v>
      </c>
      <c r="C12" s="4" t="s">
        <v>490</v>
      </c>
    </row>
    <row r="13" customFormat="false" ht="16.5" hidden="false" customHeight="true" outlineLevel="0" collapsed="false">
      <c r="A13" s="7" t="s">
        <v>491</v>
      </c>
      <c r="B13" s="7" t="s">
        <v>492</v>
      </c>
      <c r="C13" s="7" t="s">
        <v>493</v>
      </c>
    </row>
    <row r="14" customFormat="false" ht="16.5" hidden="false" customHeight="true" outlineLevel="0" collapsed="false">
      <c r="A14" s="4" t="s">
        <v>494</v>
      </c>
      <c r="B14" s="4" t="s">
        <v>495</v>
      </c>
      <c r="C14" s="4" t="s">
        <v>496</v>
      </c>
    </row>
    <row r="15" customFormat="false" ht="16.5" hidden="false" customHeight="true" outlineLevel="0" collapsed="false">
      <c r="A15" s="7" t="s">
        <v>497</v>
      </c>
      <c r="B15" s="7" t="s">
        <v>498</v>
      </c>
      <c r="C15" s="7" t="s">
        <v>499</v>
      </c>
    </row>
    <row r="16" customFormat="false" ht="16.5" hidden="false" customHeight="true" outlineLevel="0" collapsed="false">
      <c r="A16" s="4" t="s">
        <v>500</v>
      </c>
      <c r="B16" s="4" t="s">
        <v>501</v>
      </c>
      <c r="C16" s="4" t="s">
        <v>502</v>
      </c>
    </row>
    <row r="17" customFormat="false" ht="16.5" hidden="false" customHeight="true" outlineLevel="0" collapsed="false">
      <c r="A17" s="7" t="s">
        <v>503</v>
      </c>
      <c r="B17" s="7" t="s">
        <v>504</v>
      </c>
      <c r="C17" s="7" t="s">
        <v>505</v>
      </c>
    </row>
  </sheetData>
  <mergeCells count="2">
    <mergeCell ref="A1:C1"/>
    <mergeCell ref="A9:C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2026-04-19T18:51:27Z</dcterms:created>
  <dc:creator>openpyxl</dc:creator>
  <dc:description/>
  <dc:language>en-US</dc:language>
  <cp:lastModifiedBy/>
  <dcterms:modified xsi:type="dcterms:W3CDTF">2026-04-19T18:51:27Z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